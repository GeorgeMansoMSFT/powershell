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f894d7fbe746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5700ba9e4ca34159"/>
    <x:sheet xmlns:r="http://schemas.openxmlformats.org/officeDocument/2006/relationships" name="Review Queue" sheetId="2" r:id="R36e6cd5e939648b4"/>
    <x:sheet xmlns:r="http://schemas.openxmlformats.org/officeDocument/2006/relationships" name="User Posture" sheetId="3" r:id="R6c469abd077d4377"/>
    <x:sheet xmlns:r="http://schemas.openxmlformats.org/officeDocument/2006/relationships" name="Evidence - Restricted" sheetId="4" r:id="R158a3431e1bc4796"/>
    <x:sheet xmlns:r="http://schemas.openxmlformats.org/officeDocument/2006/relationships" name="Scoring Guide" sheetId="5" r:id="Rc580b36e70de4a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92400E"/>
      <x:name val="Carlito"/>
    </x:font>
    <x:font>
      <x:b/>
      <x:sz val="11"/>
      <x:color rgb="FF1E3A5F"/>
      <x:name val="Carlito"/>
    </x:font>
    <x:font>
      <x:b/>
      <x:sz val="16"/>
      <x:name val="Carlito"/>
    </x:font>
    <x:font>
      <x:b/>
      <x:sz val="11"/>
      <x:color rgb="FFFFFFFF"/>
      <x:name val="Carlito"/>
    </x:font>
    <x:font>
      <x:i/>
      <x:sz val="11"/>
      <x:color rgb="FF334155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FEF3C7"/>
      </x:patternFill>
    </x:fill>
    <x:fill>
      <x:patternFill patternType="solid">
        <x:fgColor rgb="FFDBEAFE"/>
      </x:patternFill>
    </x:fill>
    <x:fill>
      <x:patternFill patternType="solid">
        <x:fgColor rgb="FFEFF6FF"/>
      </x:patternFill>
    </x:fill>
    <x:fill>
      <x:patternFill patternType="solid">
        <x:fgColor rgb="FF1E3A5F"/>
      </x:patternFill>
    </x:fill>
    <x:fill>
      <x:patternFill patternType="solid">
        <x:fgColor rgb="FFF1F5F9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0" fontId="5" fillId="6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a8226cdbc641a9" /><Relationship Type="http://schemas.openxmlformats.org/officeDocument/2006/relationships/theme" Target="/xl/theme/theme1.xml" Id="R4f6d801a3e5b41cc" /><Relationship Type="http://schemas.microsoft.com/office/2022/11/relationships/FeaturePropertyBag" Target="/xl/featurePropertyBag/featurePropertyBag.xml" Id="R6129cfbdea7847aa" /><Relationship Type="http://schemas.openxmlformats.org/officeDocument/2006/relationships/sharedStrings" Target="/xl/sharedStrings.xml" Id="R2f8eb2fc0d02450c" /><Relationship Type="http://schemas.openxmlformats.org/officeDocument/2006/relationships/worksheet" Target="/xl/worksheets/sheet1.xml" Id="R5700ba9e4ca34159" /><Relationship Type="http://schemas.openxmlformats.org/officeDocument/2006/relationships/worksheet" Target="/xl/worksheets/sheet2.xml" Id="R36e6cd5e939648b4" /><Relationship Type="http://schemas.openxmlformats.org/officeDocument/2006/relationships/worksheet" Target="/xl/worksheets/sheet3.xml" Id="R6c469abd077d4377" /><Relationship Type="http://schemas.openxmlformats.org/officeDocument/2006/relationships/worksheet" Target="/xl/worksheets/sheet4.xml" Id="R158a3431e1bc4796" /><Relationship Type="http://schemas.openxmlformats.org/officeDocument/2006/relationships/worksheet" Target="/xl/worksheets/sheet5.xml" Id="Rc580b36e70de4ab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xampleReviewQueue" displayName="ExampleReviewQueue" ref="A4:H22" headerRowCount="1" totalsRowCount="0" totalsRowShown="0">
  <x:tableColumns count="8">
    <x:tableColumn id="1" name="UserPrincipalName"/>
    <x:tableColumn id="2" name="DisplayName"/>
    <x:tableColumn id="3" name="IsAdmin"/>
    <x:tableColumn id="4" name="StrongestRegisteredMethod"/>
    <x:tableColumn id="5" name="StrongestRegisteredTier"/>
    <x:tableColumn id="6" name="EvidenceStatus"/>
    <x:tableColumn id="7" name="Recommended review"/>
    <x:tableColumn id="8" name="Sample 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xampleUserPosture" displayName="ExampleUserPosture" ref="A4:AF27" headerRowCount="1" totalsRowCount="0" totalsRowShown="0">
  <x:tableColumns count="32">
    <x:tableColumn id="1" name="UserPrincipalName"/>
    <x:tableColumn id="2" name="DisplayName"/>
    <x:tableColumn id="3" name="UserId"/>
    <x:tableColumn id="4" name="UserType"/>
    <x:tableColumn id="5" name="IsAdmin"/>
    <x:tableColumn id="6" name="AllRegisteredMethods"/>
    <x:tableColumn id="7" name="StrongestRegisteredMethod"/>
    <x:tableColumn id="8" name="StrongestRegisteredScore"/>
    <x:tableColumn id="9" name="StrongestRegisteredTier"/>
    <x:tableColumn id="10" name="IsMfaRegistered"/>
    <x:tableColumn id="11" name="IsMfaCapable"/>
    <x:tableColumn id="12" name="IsPasswordlessCapable"/>
    <x:tableColumn id="13" name="DefaultMfaMethod"/>
    <x:tableColumn id="14" name="UserPreferredSecondaryAuthentication"/>
    <x:tableColumn id="15" name="SystemPreferredAuthenticationMethods"/>
    <x:tableColumn id="16" name="RegistrationReportLastUpdatedUtc"/>
    <x:tableColumn id="17" name="SuccessfulInteractiveSignInsReviewed"/>
    <x:tableColumn id="18" name="SignInsWithExplicitMethod"/>
    <x:tableColumn id="19" name="ExplicitMethodEvidenceCoverage"/>
    <x:tableColumn id="20" name="ExplicitMethodEvidenceStatus"/>
    <x:tableColumn id="21" name="SuccessfulSignInsReportingMfaRequirement"/>
    <x:tableColumn id="22" name="LastSuccessfulInteractiveSignInUtc"/>
    <x:tableColumn id="23" name="MethodsExplicitlyObserved"/>
    <x:tableColumn id="24" name="StrongestExplicitlyObservedMethod"/>
    <x:tableColumn id="25" name="StrongestExplicitlyObservedScore"/>
    <x:tableColumn id="26" name="StrongestExplicitlyObservedTier"/>
    <x:tableColumn id="27" name="StrongestExplicitlyObservedMethodCount"/>
    <x:tableColumn id="28" name="StrongestExplicitlyObservedLastSeenUtc"/>
    <x:tableColumn id="29" name="RegistrationVsObservation"/>
    <x:tableColumn id="30" name="StrongerMethodRegisteredThanObserved"/>
    <x:tableColumn id="31" name="ObservationWindowStartUtc"/>
    <x:tableColumn id="32" name="ObservationWindowEndUtc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xampleRestrictedEvidence" displayName="ExampleRestrictedEvidence" ref="A4:Q9" headerRowCount="1" totalsRowCount="0" totalsRowShown="0">
  <x:tableColumns count="17">
    <x:tableColumn id="1" name="UserPrincipalName"/>
    <x:tableColumn id="2" name="UserId"/>
    <x:tableColumn id="3" name="SignInId"/>
    <x:tableColumn id="4" name="CreatedDateTimeUtc"/>
    <x:tableColumn id="5" name="AppDisplayName"/>
    <x:tableColumn id="6" name="ClientAppUsed"/>
    <x:tableColumn id="7" name="AuthenticationRequirement"/>
    <x:tableColumn id="8" name="ConditionalAccessStatus"/>
    <x:tableColumn id="9" name="ExplicitMethodForSignIn"/>
    <x:tableColumn id="10" name="ExplicitMethodScore"/>
    <x:tableColumn id="11" name="RawAuthenticationSteps"/>
    <x:tableColumn id="12" name="IpAddress"/>
    <x:tableColumn id="13" name="DeviceName"/>
    <x:tableColumn id="14" name="OperatingSystem"/>
    <x:tableColumn id="15" name="Browser"/>
    <x:tableColumn id="16" name="IsManaged"/>
    <x:tableColumn id="17" name="IsComplian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xampleScoringGuide" displayName="ExampleScoringGuide" ref="A4:E15" headerRowCount="1" totalsRowCount="0" totalsRowShown="0">
  <x:tableColumns count="5">
    <x:tableColumn id="1" name="Method family"/>
    <x:tableColumn id="2" name="Score"/>
    <x:tableColumn id="3" name="Tier"/>
    <x:tableColumn id="4" name="Meaning"/>
    <x:tableColumn id="5" name="Examp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af6f65371ce4a4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9886baca634414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113958dff3f48c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99d149d3876473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8" hidden="0" customWidth="1"/>
    <x:col min="3" max="3" width="18" hidden="0" customWidth="1"/>
    <x:col min="5" max="5" width="18" hidden="0" customWidth="1"/>
    <x:col min="7" max="7" width="18" hidden="0" customWidth="1"/>
    <x:col min="8" max="8" width="18" hidden="0" customWidth="1"/>
    <x:col min="4" max="4" width="18" hidden="0" customWidth="1"/>
    <x:col min="6" max="6" width="18" hidden="0" customWidth="1"/>
  </x:cols>
  <x:sheetData>
    <x:row r="1" ht="19.200000762939453" hidden="0" customHeight="1">
      <x:c r="A1" s="25" t="str">
        <x:v>Entra Authentication Posture - Example Overview</x:v>
      </x:c>
      <x:c r="B1" s="25"/>
      <x:c r="C1" s="25"/>
      <x:c r="D1" s="25"/>
      <x:c r="E1" s="25"/>
      <x:c r="F1" s="25"/>
      <x:c r="G1" s="25"/>
      <x:c r="H1" s="25"/>
    </x:row>
    <x:row r="2" ht="15" hidden="0" customHeight="1">
      <x:c r="A2" s="7" t="str">
        <x:v>Synthetic example - no customer tenant data. Do not treat this as live telemetry.</x:v>
      </x:c>
      <x:c r="B2" s="7"/>
      <x:c r="C2" s="7"/>
      <x:c r="D2" s="7"/>
      <x:c r="E2" s="7"/>
      <x:c r="F2" s="7"/>
      <x:c r="G2" s="7"/>
      <x:c r="H2" s="7"/>
    </x:row>
    <x:row r="3" ht="15" hidden="0" customHeight="1">
      <x:c r="A3" s="26"/>
      <x:c r="B3" s="26"/>
      <x:c r="C3" s="26"/>
      <x:c r="D3" s="26"/>
      <x:c r="E3" s="26"/>
      <x:c r="F3" s="26"/>
      <x:c r="G3" s="26"/>
      <x:c r="H3" s="26"/>
    </x:row>
    <x:row r="4" ht="15" hidden="0" customHeight="1">
      <x:c r="A4" s="27" t="str">
        <x:v>Total users</x:v>
      </x:c>
      <x:c r="B4" s="27"/>
      <x:c r="C4" s="27" t="str">
        <x:v>Phishing-resistant</x:v>
      </x:c>
      <x:c r="D4" s="27"/>
      <x:c r="E4" s="27" t="str">
        <x:v>Strong MFA</x:v>
      </x:c>
      <x:c r="F4" s="27"/>
      <x:c r="G4" s="27" t="str">
        <x:v>Users with explicit evidence</x:v>
      </x:c>
      <x:c r="H4" s="27"/>
    </x:row>
    <x:row r="5" ht="19.200000762939453" hidden="0" customHeight="1">
      <x:c r="A5" s="28" t="n">
        <x:f>COUNTA('User Posture'!$A$5:$A$27)</x:f>
        <x:v>23</x:v>
      </x:c>
      <x:c r="B5" s="28"/>
      <x:c r="C5" s="28" t="n">
        <x:f>COUNTIF('User Posture'!$I$5:$I$27,"Phishing-resistant MFA")</x:f>
        <x:v>2</x:v>
      </x:c>
      <x:c r="D5" s="28"/>
      <x:c r="E5" s="28" t="n">
        <x:f>COUNTIF('User Posture'!$I$5:$I$27,"Strong MFA (app, token, or TAP)")</x:f>
        <x:v>4</x:v>
      </x:c>
      <x:c r="F5" s="28"/>
      <x:c r="G5" s="28" t="n">
        <x:f>COUNTIF('User Posture'!$Y$5:$Y$27,"&gt;0")</x:f>
        <x:v>1</x:v>
      </x:c>
      <x:c r="H5" s="28"/>
    </x:row>
    <x:row r="6" ht="15" hidden="0" customHeight="1">
      <x:c r="A6" s="26"/>
      <x:c r="B6" s="26"/>
      <x:c r="C6" s="26"/>
      <x:c r="D6" s="26"/>
      <x:c r="E6" s="26"/>
      <x:c r="F6" s="26"/>
      <x:c r="G6" s="26"/>
      <x:c r="H6" s="26"/>
    </x:row>
    <x:row r="7" ht="15" hidden="0" customHeight="1">
      <x:c r="A7" s="26"/>
      <x:c r="B7" s="26"/>
      <x:c r="C7" s="26"/>
      <x:c r="D7" s="26"/>
      <x:c r="E7" s="26"/>
      <x:c r="F7" s="26"/>
      <x:c r="G7" s="26"/>
      <x:c r="H7" s="26"/>
    </x:row>
    <x:row r="8" ht="15" hidden="0" customHeight="1">
      <x:c r="A8" s="19" t="str">
        <x:v>Tier</x:v>
      </x:c>
      <x:c r="B8" s="19" t="str">
        <x:v>Registered users</x:v>
      </x:c>
      <x:c r="C8" s="19" t="str">
        <x:v>Explicitly observed users</x:v>
      </x:c>
      <x:c r="D8" s="19" t="str"/>
      <x:c r="E8" s="19" t="str">
        <x:v>Evidence coverage</x:v>
      </x:c>
      <x:c r="F8" s="19" t="str"/>
      <x:c r="G8" s="19" t="str">
        <x:v>Sign-ins reviewed</x:v>
      </x:c>
      <x:c r="H8" s="19" t="str">
        <x:v>Explicit method events</x:v>
      </x:c>
    </x:row>
    <x:row r="9" ht="15" hidden="0" customHeight="1">
      <x:c r="A9" s="29" t="str">
        <x:v>Phishing-resistant MFA</x:v>
      </x:c>
      <x:c r="B9" s="29" t="n">
        <x:f>COUNTIF('User Posture'!$I$5:$I$27,"Phishing-resistant MFA")</x:f>
        <x:v>2</x:v>
      </x:c>
      <x:c r="C9" s="29" t="n">
        <x:f>COUNTIFS('User Posture'!$Z$5:$Z$27,"Phishing-resistant MFA",'User Posture'!$Y$5:$Y$27,"&gt;0")</x:f>
        <x:v>0</x:v>
      </x:c>
      <x:c r="D9" s="29" t="str"/>
      <x:c r="E9" s="30" t="n">
        <x:f>COUNTA('Evidence - Restricted'!$A$5:$A$9)/SUM('User Posture'!$Q$5:$Q$27)</x:f>
        <x:v>0.35714285714285715</x:v>
      </x:c>
      <x:c r="F9" s="29" t="str"/>
      <x:c r="G9" s="29" t="n">
        <x:f>SUM('User Posture'!$Q$5:$Q$27)</x:f>
        <x:v>14</x:v>
      </x:c>
      <x:c r="H9" s="29" t="n">
        <x:f>COUNTA('Evidence - Restricted'!$A$5:$A$9)</x:f>
        <x:v>5</x:v>
      </x:c>
    </x:row>
    <x:row r="10" ht="15" hidden="0" customHeight="1">
      <x:c r="A10" s="29" t="str">
        <x:v>Passwordless MFA</x:v>
      </x:c>
      <x:c r="B10" s="29" t="n">
        <x:f>COUNTIF('User Posture'!$I$5:$I$27,"Passwordless MFA")</x:f>
        <x:v>0</x:v>
      </x:c>
      <x:c r="C10" s="29" t="n">
        <x:f>COUNTIFS('User Posture'!$Z$5:$Z$27,"Passwordless MFA",'User Posture'!$Y$5:$Y$27,"&gt;0")</x:f>
        <x:v>0</x:v>
      </x:c>
      <x:c r="D10" s="29" t="str"/>
      <x:c r="E10" s="29" t="str"/>
      <x:c r="F10" s="29" t="str"/>
      <x:c r="G10" s="29" t="str"/>
      <x:c r="H10" s="29" t="str"/>
    </x:row>
    <x:row r="11" ht="15" hidden="0" customHeight="1">
      <x:c r="A11" s="29" t="str">
        <x:v>Strong MFA (app, token, or TAP)</x:v>
      </x:c>
      <x:c r="B11" s="29" t="n">
        <x:f>COUNTIF('User Posture'!$I$5:$I$27,"Strong MFA (app, token, or TAP)")</x:f>
        <x:v>4</x:v>
      </x:c>
      <x:c r="C11" s="29" t="n">
        <x:f>COUNTIFS('User Posture'!$Z$5:$Z$27,"Strong MFA (app, token, or TAP)",'User Posture'!$Y$5:$Y$27,"&gt;0")</x:f>
        <x:v>1</x:v>
      </x:c>
      <x:c r="D11" s="29" t="str"/>
      <x:c r="E11" s="29" t="str"/>
      <x:c r="F11" s="29" t="str"/>
      <x:c r="G11" s="29" t="str"/>
      <x:c r="H11" s="29" t="str"/>
    </x:row>
    <x:row r="12" ht="15" hidden="0" customHeight="1">
      <x:c r="A12" s="29" t="str">
        <x:v>Phone-based MFA</x:v>
      </x:c>
      <x:c r="B12" s="29" t="n">
        <x:f>COUNTIF('User Posture'!$I$5:$I$27,"Phone-based MFA")</x:f>
        <x:v>0</x:v>
      </x:c>
      <x:c r="C12" s="29" t="n">
        <x:f>COUNTIFS('User Posture'!$Z$5:$Z$27,"Phone-based MFA",'User Posture'!$Y$5:$Y$27,"&gt;0")</x:f>
        <x:v>0</x:v>
      </x:c>
      <x:c r="D12" s="29" t="str"/>
      <x:c r="E12" s="29" t="str"/>
      <x:c r="F12" s="29" t="str"/>
      <x:c r="G12" s="29" t="str"/>
      <x:c r="H12" s="29" t="str"/>
    </x:row>
    <x:row r="13" ht="15" hidden="0" customHeight="1">
      <x:c r="A13" s="29" t="str">
        <x:v>Single-factor / SSPR only</x:v>
      </x:c>
      <x:c r="B13" s="29" t="n">
        <x:f>COUNTIF('User Posture'!$I$5:$I$27,"Single-factor / SSPR only")</x:f>
        <x:v>0</x:v>
      </x:c>
      <x:c r="C13" s="29" t="n">
        <x:f>COUNTIFS('User Posture'!$Z$5:$Z$27,"Single-factor / SSPR only",'User Posture'!$Y$5:$Y$27,"&gt;0")</x:f>
        <x:v>0</x:v>
      </x:c>
      <x:c r="D13" s="29" t="str"/>
      <x:c r="E13" s="29" t="str"/>
      <x:c r="F13" s="29" t="str"/>
      <x:c r="G13" s="29" t="str"/>
      <x:c r="H13" s="29" t="str"/>
    </x:row>
    <x:row r="14" ht="15" hidden="0" customHeight="1">
      <x:c r="A14" s="29" t="str">
        <x:v>None / unclassified</x:v>
      </x:c>
      <x:c r="B14" s="29" t="n">
        <x:f>COUNTIF('User Posture'!$I$5:$I$27,"None / unclassified")</x:f>
        <x:v>17</x:v>
      </x:c>
      <x:c r="C14" s="29" t="n">
        <x:f>COUNTIFS('User Posture'!$Z$5:$Z$27,"None / unclassified",'User Posture'!$Y$5:$Y$27,"&gt;0")</x:f>
        <x:v>0</x:v>
      </x:c>
      <x:c r="D14" s="29" t="str"/>
      <x:c r="E14" s="29" t="str"/>
      <x:c r="F14" s="29" t="str"/>
      <x:c r="G14" s="29" t="str"/>
      <x:c r="H14" s="29" t="str"/>
    </x:row>
    <x:row r="15" ht="15" hidden="0" customHeight="1">
      <x:c r="A15" s="26"/>
      <x:c r="B15" s="26"/>
      <x:c r="C15" s="26"/>
      <x:c r="D15" s="26"/>
      <x:c r="E15" s="26"/>
      <x:c r="F15" s="26"/>
      <x:c r="G15" s="26"/>
      <x:c r="H15" s="26"/>
    </x:row>
    <x:row r="16" ht="15" hidden="0" customHeight="1">
      <x:c r="A16" s="26"/>
      <x:c r="B16" s="26"/>
      <x:c r="C16" s="26"/>
      <x:c r="D16" s="26"/>
      <x:c r="E16" s="26"/>
      <x:c r="F16" s="26"/>
      <x:c r="G16" s="26"/>
      <x:c r="H16" s="26"/>
    </x:row>
    <x:row r="17" ht="15" hidden="0" customHeight="1">
      <x:c r="A17" s="24" t="str">
        <x:v>Interpretation: explicit-method evidence represents only successful sign-ins whose returned details identify a fresh method. Missing evidence is not evidence of MFA non-use.</x:v>
      </x:c>
      <x:c r="B17" s="24"/>
      <x:c r="C17" s="24"/>
      <x:c r="D17" s="24"/>
      <x:c r="E17" s="24"/>
      <x:c r="F17" s="24"/>
      <x:c r="G17" s="24"/>
      <x:c r="H17" s="24"/>
    </x:row>
    <x:row r="18" ht="15" hidden="0" customHeight="1">
      <x:c r="A18" s="26"/>
      <x:c r="B18" s="26"/>
      <x:c r="C18" s="26"/>
      <x:c r="D18" s="26"/>
      <x:c r="E18" s="26"/>
      <x:c r="F18" s="26"/>
      <x:c r="G18" s="26"/>
      <x:c r="H18" s="26"/>
    </x:row>
  </x:sheetData>
  <x:mergeCells>
    <x:mergeCell ref="A1:H1"/>
    <x:mergeCell ref="A2:H2"/>
    <x:mergeCell ref="A4:B4"/>
    <x:mergeCell ref="C4:D4"/>
    <x:mergeCell ref="E4:F4"/>
    <x:mergeCell ref="G4:H4"/>
    <x:mergeCell ref="A5:B5"/>
    <x:mergeCell ref="C5:D5"/>
    <x:mergeCell ref="E5:F5"/>
    <x:mergeCell ref="G5:H5"/>
    <x:mergeCell ref="C8:D8"/>
    <x:mergeCell ref="E8:F8"/>
    <x:mergeCell ref="A17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0" hidden="0" customWidth="1"/>
    <x:col min="3" max="3" width="10" hidden="0" customWidth="1"/>
    <x:col min="4" max="4" width="28" hidden="0" customWidth="1"/>
    <x:col min="5" max="5" width="28" hidden="0" customWidth="1"/>
    <x:col min="6" max="6" width="34" hidden="0" customWidth="1"/>
    <x:col min="7" max="7" width="40" hidden="0" customWidth="1"/>
    <x:col min="8" max="8" width="18" hidden="0" customWidth="1"/>
  </x:cols>
  <x:sheetData>
    <x:row r="1" ht="28" customHeight="1">
      <x:c r="A1" s="4" t="str">
        <x:v>Entra Authentication Posture - Example Review Queue</x:v>
      </x:c>
      <x:c r="B1" s="4"/>
      <x:c r="C1" s="4"/>
      <x:c r="D1" s="4"/>
      <x:c r="E1" s="4"/>
      <x:c r="F1" s="4"/>
      <x:c r="G1" s="4"/>
      <x:c r="H1" s="4"/>
    </x:row>
    <x:row r="2">
      <x:c r="A2" s="7" t="str">
        <x:v>Synthetic example - no customer tenant data. Do not treat this as live telemetry.</x:v>
      </x:c>
      <x:c r="B2" s="7"/>
      <x:c r="C2" s="7"/>
      <x:c r="D2" s="7"/>
      <x:c r="E2" s="7"/>
      <x:c r="F2" s="7"/>
      <x:c r="G2" s="7"/>
      <x:c r="H2" s="7"/>
    </x:row>
    <x:row r="4" ht="15" hidden="0" customHeight="1">
      <x:c r="A4" s="17" t="str">
        <x:v>UserPrincipalName</x:v>
      </x:c>
      <x:c r="B4" s="17" t="str">
        <x:v>DisplayName</x:v>
      </x:c>
      <x:c r="C4" s="17" t="str">
        <x:v>IsAdmin</x:v>
      </x:c>
      <x:c r="D4" s="17" t="str">
        <x:v>StrongestRegisteredMethod</x:v>
      </x:c>
      <x:c r="E4" s="17" t="str">
        <x:v>StrongestRegisteredTier</x:v>
      </x:c>
      <x:c r="F4" s="17" t="str">
        <x:v>EvidenceStatus</x:v>
      </x:c>
      <x:c r="G4" s="17" t="str">
        <x:v>Recommended review</x:v>
      </x:c>
      <x:c r="H4" s="17" t="str">
        <x:v>Sample note</x:v>
      </x:c>
    </x:row>
    <x:row r="5" ht="26.399999618530273" hidden="0" customHeight="1">
      <x:c r="A5" s="26" t="str">
        <x:v>alex.taylor@example.com</x:v>
      </x:c>
      <x:c r="B5" s="26" t="str">
        <x:v>Alex Taylor</x:v>
      </x:c>
      <x:c r="C5" s="32" t="b">
        <x:v>1</x:v>
      </x:c>
      <x:c r="D5" s="26" t="str">
        <x:v>FIDO2 security key</x:v>
      </x:c>
      <x:c r="E5" s="26" t="str">
        <x:v>Phishing-resistant MFA</x:v>
      </x:c>
      <x:c r="F5" s="26" t="str">
        <x:v>No successful interactive sign-in in the window</x:v>
      </x:c>
      <x:c r="G5" s="26" t="str">
        <x:v>Confirm privileged-account authentication plan</x:v>
      </x:c>
      <x:c r="H5" s="26" t="str">
        <x:v>Synthetic example</x:v>
      </x:c>
    </x:row>
    <x:row r="6" ht="26.399999618530273" hidden="0" customHeight="1">
      <x:c r="A6" s="26" t="str">
        <x:v>sample.user07@example.com</x:v>
      </x:c>
      <x:c r="B6" s="26" t="str">
        <x:v>Sample User 07</x:v>
      </x:c>
      <x:c r="C6" s="32" t="b">
        <x:v>1</x:v>
      </x:c>
      <x:c r="D6" s="26" t="str"/>
      <x:c r="E6" s="26" t="str">
        <x:v>None / unclassified</x:v>
      </x:c>
      <x:c r="F6" s="26" t="str">
        <x:v>No successful interactive sign-in in the window</x:v>
      </x:c>
      <x:c r="G6" s="26" t="str">
        <x:v>Confirm privileged-account authentication plan</x:v>
      </x:c>
      <x:c r="H6" s="26" t="str">
        <x:v>Synthetic example</x:v>
      </x:c>
    </x:row>
    <x:row r="7" ht="26.399999618530273" hidden="0" customHeight="1">
      <x:c r="A7" s="26" t="str">
        <x:v>sample.user08@example.com</x:v>
      </x:c>
      <x:c r="B7" s="26" t="str">
        <x:v>Sample User 08</x:v>
      </x:c>
      <x:c r="C7" s="32" t="b">
        <x:v>0</x:v>
      </x:c>
      <x:c r="D7" s="26" t="str"/>
      <x:c r="E7" s="26" t="str">
        <x:v>None / unclassified</x:v>
      </x:c>
      <x:c r="F7" s="26" t="str">
        <x:v>No successful interactive sign-in in the window</x:v>
      </x:c>
      <x:c r="G7" s="26" t="str">
        <x:v>Review enrollment or exclusion rationale</x:v>
      </x:c>
      <x:c r="H7" s="26" t="str">
        <x:v>Synthetic example</x:v>
      </x:c>
    </x:row>
    <x:row r="8" ht="26.399999618530273" hidden="0" customHeight="1">
      <x:c r="A8" s="26" t="str">
        <x:v>sample.user09@example.com</x:v>
      </x:c>
      <x:c r="B8" s="26" t="str">
        <x:v>Sample User 09</x:v>
      </x:c>
      <x:c r="C8" s="32" t="b">
        <x:v>0</x:v>
      </x:c>
      <x:c r="D8" s="26" t="str"/>
      <x:c r="E8" s="26" t="str">
        <x:v>None / unclassified</x:v>
      </x:c>
      <x:c r="F8" s="26" t="str">
        <x:v>No successful interactive sign-in in the window</x:v>
      </x:c>
      <x:c r="G8" s="26" t="str">
        <x:v>Review enrollment or exclusion rationale</x:v>
      </x:c>
      <x:c r="H8" s="26" t="str">
        <x:v>Synthetic example</x:v>
      </x:c>
    </x:row>
    <x:row r="9" ht="26.399999618530273" hidden="0" customHeight="1">
      <x:c r="A9" s="26" t="str">
        <x:v>sample.user10@example.com</x:v>
      </x:c>
      <x:c r="B9" s="26" t="str">
        <x:v>Sample User 10</x:v>
      </x:c>
      <x:c r="C9" s="32" t="b">
        <x:v>0</x:v>
      </x:c>
      <x:c r="D9" s="26" t="str"/>
      <x:c r="E9" s="26" t="str">
        <x:v>None / unclassified</x:v>
      </x:c>
      <x:c r="F9" s="26" t="str">
        <x:v>No successful interactive sign-in in the window</x:v>
      </x:c>
      <x:c r="G9" s="26" t="str">
        <x:v>Review enrollment or exclusion rationale</x:v>
      </x:c>
      <x:c r="H9" s="26" t="str">
        <x:v>Synthetic example</x:v>
      </x:c>
    </x:row>
    <x:row r="10" ht="26.399999618530273" hidden="0" customHeight="1">
      <x:c r="A10" s="26" t="str">
        <x:v>sample.user11@example.com</x:v>
      </x:c>
      <x:c r="B10" s="26" t="str">
        <x:v>Sample User 11</x:v>
      </x:c>
      <x:c r="C10" s="32" t="b">
        <x:v>0</x:v>
      </x:c>
      <x:c r="D10" s="26" t="str"/>
      <x:c r="E10" s="26" t="str">
        <x:v>None / unclassified</x:v>
      </x:c>
      <x:c r="F10" s="26" t="str">
        <x:v>No successful interactive sign-in in the window</x:v>
      </x:c>
      <x:c r="G10" s="26" t="str">
        <x:v>Review enrollment or exclusion rationale</x:v>
      </x:c>
      <x:c r="H10" s="26" t="str">
        <x:v>Synthetic example</x:v>
      </x:c>
    </x:row>
    <x:row r="11" ht="26.399999618530273" hidden="0" customHeight="1">
      <x:c r="A11" s="26" t="str">
        <x:v>sample.user12@example.com</x:v>
      </x:c>
      <x:c r="B11" s="26" t="str">
        <x:v>Sample User 12</x:v>
      </x:c>
      <x:c r="C11" s="32" t="b">
        <x:v>0</x:v>
      </x:c>
      <x:c r="D11" s="26" t="str"/>
      <x:c r="E11" s="26" t="str">
        <x:v>None / unclassified</x:v>
      </x:c>
      <x:c r="F11" s="26" t="str">
        <x:v>No successful interactive sign-in in the window</x:v>
      </x:c>
      <x:c r="G11" s="26" t="str">
        <x:v>Review enrollment or exclusion rationale</x:v>
      </x:c>
      <x:c r="H11" s="26" t="str">
        <x:v>Synthetic example</x:v>
      </x:c>
    </x:row>
    <x:row r="12" ht="26.399999618530273" hidden="0" customHeight="1">
      <x:c r="A12" s="26" t="str">
        <x:v>sample.user13@example.com</x:v>
      </x:c>
      <x:c r="B12" s="26" t="str">
        <x:v>Sample User 13</x:v>
      </x:c>
      <x:c r="C12" s="32" t="b">
        <x:v>0</x:v>
      </x:c>
      <x:c r="D12" s="26" t="str"/>
      <x:c r="E12" s="26" t="str">
        <x:v>None / unclassified</x:v>
      </x:c>
      <x:c r="F12" s="26" t="str">
        <x:v>No successful interactive sign-in in the window</x:v>
      </x:c>
      <x:c r="G12" s="26" t="str">
        <x:v>Review enrollment or exclusion rationale</x:v>
      </x:c>
      <x:c r="H12" s="26" t="str">
        <x:v>Synthetic example</x:v>
      </x:c>
    </x:row>
    <x:row r="13" ht="26.399999618530273" hidden="0" customHeight="1">
      <x:c r="A13" s="26" t="str">
        <x:v>sample.user14@example.com</x:v>
      </x:c>
      <x:c r="B13" s="26" t="str">
        <x:v>Sample User 14</x:v>
      </x:c>
      <x:c r="C13" s="32" t="b">
        <x:v>0</x:v>
      </x:c>
      <x:c r="D13" s="26" t="str"/>
      <x:c r="E13" s="26" t="str">
        <x:v>None / unclassified</x:v>
      </x:c>
      <x:c r="F13" s="26" t="str">
        <x:v>No successful interactive sign-in in the window</x:v>
      </x:c>
      <x:c r="G13" s="26" t="str">
        <x:v>Review enrollment or exclusion rationale</x:v>
      </x:c>
      <x:c r="H13" s="26" t="str">
        <x:v>Synthetic example</x:v>
      </x:c>
    </x:row>
    <x:row r="14" ht="26.399999618530273" hidden="0" customHeight="1">
      <x:c r="A14" s="26" t="str">
        <x:v>sample.user15@example.com</x:v>
      </x:c>
      <x:c r="B14" s="26" t="str">
        <x:v>Sample User 15</x:v>
      </x:c>
      <x:c r="C14" s="32" t="b">
        <x:v>0</x:v>
      </x:c>
      <x:c r="D14" s="26" t="str"/>
      <x:c r="E14" s="26" t="str">
        <x:v>None / unclassified</x:v>
      </x:c>
      <x:c r="F14" s="26" t="str">
        <x:v>No successful interactive sign-in in the window</x:v>
      </x:c>
      <x:c r="G14" s="26" t="str">
        <x:v>Review enrollment or exclusion rationale</x:v>
      </x:c>
      <x:c r="H14" s="26" t="str">
        <x:v>Synthetic example</x:v>
      </x:c>
    </x:row>
    <x:row r="15" ht="26.399999618530273" hidden="0" customHeight="1">
      <x:c r="A15" s="26" t="str">
        <x:v>sample.user16@example.com</x:v>
      </x:c>
      <x:c r="B15" s="26" t="str">
        <x:v>Sample User 16</x:v>
      </x:c>
      <x:c r="C15" s="32" t="b">
        <x:v>0</x:v>
      </x:c>
      <x:c r="D15" s="26" t="str"/>
      <x:c r="E15" s="26" t="str">
        <x:v>None / unclassified</x:v>
      </x:c>
      <x:c r="F15" s="26" t="str">
        <x:v>No successful interactive sign-in in the window</x:v>
      </x:c>
      <x:c r="G15" s="26" t="str">
        <x:v>Review enrollment or exclusion rationale</x:v>
      </x:c>
      <x:c r="H15" s="26" t="str">
        <x:v>Synthetic example</x:v>
      </x:c>
    </x:row>
    <x:row r="16" ht="26.399999618530273" hidden="0" customHeight="1">
      <x:c r="A16" s="26" t="str">
        <x:v>sample.user17@example.com</x:v>
      </x:c>
      <x:c r="B16" s="26" t="str">
        <x:v>Sample User 17</x:v>
      </x:c>
      <x:c r="C16" s="32" t="b">
        <x:v>0</x:v>
      </x:c>
      <x:c r="D16" s="26" t="str"/>
      <x:c r="E16" s="26" t="str">
        <x:v>None / unclassified</x:v>
      </x:c>
      <x:c r="F16" s="26" t="str">
        <x:v>No successful interactive sign-in in the window</x:v>
      </x:c>
      <x:c r="G16" s="26" t="str">
        <x:v>Review enrollment or exclusion rationale</x:v>
      </x:c>
      <x:c r="H16" s="26" t="str">
        <x:v>Synthetic example</x:v>
      </x:c>
    </x:row>
    <x:row r="17" ht="26.399999618530273" hidden="0" customHeight="1">
      <x:c r="A17" s="26" t="str">
        <x:v>sample.user18@example.com</x:v>
      </x:c>
      <x:c r="B17" s="26" t="str">
        <x:v>Sample User 18</x:v>
      </x:c>
      <x:c r="C17" s="32" t="b">
        <x:v>0</x:v>
      </x:c>
      <x:c r="D17" s="26" t="str"/>
      <x:c r="E17" s="26" t="str">
        <x:v>None / unclassified</x:v>
      </x:c>
      <x:c r="F17" s="26" t="str">
        <x:v>No successful interactive sign-in in the window</x:v>
      </x:c>
      <x:c r="G17" s="26" t="str">
        <x:v>Review enrollment or exclusion rationale</x:v>
      </x:c>
      <x:c r="H17" s="26" t="str">
        <x:v>Synthetic example</x:v>
      </x:c>
    </x:row>
    <x:row r="18" ht="26.399999618530273" hidden="0" customHeight="1">
      <x:c r="A18" s="26" t="str">
        <x:v>sample.user19@example.com</x:v>
      </x:c>
      <x:c r="B18" s="26" t="str">
        <x:v>Sample User 19</x:v>
      </x:c>
      <x:c r="C18" s="32" t="b">
        <x:v>0</x:v>
      </x:c>
      <x:c r="D18" s="26" t="str"/>
      <x:c r="E18" s="26" t="str">
        <x:v>None / unclassified</x:v>
      </x:c>
      <x:c r="F18" s="26" t="str">
        <x:v>No successful interactive sign-in in the window</x:v>
      </x:c>
      <x:c r="G18" s="26" t="str">
        <x:v>Review enrollment or exclusion rationale</x:v>
      </x:c>
      <x:c r="H18" s="26" t="str">
        <x:v>Synthetic example</x:v>
      </x:c>
    </x:row>
    <x:row r="19" ht="26.399999618530273" hidden="0" customHeight="1">
      <x:c r="A19" s="26" t="str">
        <x:v>sample.user20@example.com</x:v>
      </x:c>
      <x:c r="B19" s="26" t="str">
        <x:v>Sample User 20</x:v>
      </x:c>
      <x:c r="C19" s="32" t="b">
        <x:v>0</x:v>
      </x:c>
      <x:c r="D19" s="26" t="str"/>
      <x:c r="E19" s="26" t="str">
        <x:v>None / unclassified</x:v>
      </x:c>
      <x:c r="F19" s="26" t="str">
        <x:v>No successful interactive sign-in in the window</x:v>
      </x:c>
      <x:c r="G19" s="26" t="str">
        <x:v>Review enrollment or exclusion rationale</x:v>
      </x:c>
      <x:c r="H19" s="26" t="str">
        <x:v>Synthetic example</x:v>
      </x:c>
    </x:row>
    <x:row r="20" ht="26.399999618530273" hidden="0" customHeight="1">
      <x:c r="A20" s="26" t="str">
        <x:v>sample.user21@example.com</x:v>
      </x:c>
      <x:c r="B20" s="26" t="str">
        <x:v>Sample User 21</x:v>
      </x:c>
      <x:c r="C20" s="32" t="b">
        <x:v>0</x:v>
      </x:c>
      <x:c r="D20" s="26" t="str"/>
      <x:c r="E20" s="26" t="str">
        <x:v>None / unclassified</x:v>
      </x:c>
      <x:c r="F20" s="26" t="str">
        <x:v>No successful interactive sign-in in the window</x:v>
      </x:c>
      <x:c r="G20" s="26" t="str">
        <x:v>Review enrollment or exclusion rationale</x:v>
      </x:c>
      <x:c r="H20" s="26" t="str">
        <x:v>Synthetic example</x:v>
      </x:c>
    </x:row>
    <x:row r="21" ht="26.399999618530273" hidden="0" customHeight="1">
      <x:c r="A21" s="26" t="str">
        <x:v>sample.user22@example.com</x:v>
      </x:c>
      <x:c r="B21" s="26" t="str">
        <x:v>Sample User 22</x:v>
      </x:c>
      <x:c r="C21" s="32" t="b">
        <x:v>0</x:v>
      </x:c>
      <x:c r="D21" s="26" t="str"/>
      <x:c r="E21" s="26" t="str">
        <x:v>None / unclassified</x:v>
      </x:c>
      <x:c r="F21" s="26" t="str">
        <x:v>No successful interactive sign-in in the window</x:v>
      </x:c>
      <x:c r="G21" s="26" t="str">
        <x:v>Review enrollment or exclusion rationale</x:v>
      </x:c>
      <x:c r="H21" s="26" t="str">
        <x:v>Synthetic example</x:v>
      </x:c>
    </x:row>
    <x:row r="22" ht="26.399999618530273" hidden="0" customHeight="1">
      <x:c r="A22" s="26" t="str">
        <x:v>sample.user23@example.com</x:v>
      </x:c>
      <x:c r="B22" s="26" t="str">
        <x:v>Sample User 23</x:v>
      </x:c>
      <x:c r="C22" s="32" t="b">
        <x:v>0</x:v>
      </x:c>
      <x:c r="D22" s="26" t="str"/>
      <x:c r="E22" s="26" t="str">
        <x:v>None / unclassified</x:v>
      </x:c>
      <x:c r="F22" s="26" t="str">
        <x:v>No successful interactive sign-in in the window</x:v>
      </x:c>
      <x:c r="G22" s="26" t="str">
        <x:v>Review enrollment or exclusion rationale</x:v>
      </x:c>
      <x:c r="H22" s="26" t="str">
        <x:v>Synthetic example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8af6f65371ce4a4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32.5" hidden="0" customWidth="1"/>
    <x:col min="4" max="4" width="10.25" hidden="0" customWidth="1"/>
    <x:col min="5" max="5" width="9.25" hidden="0" customWidth="1"/>
    <x:col min="6" max="6" width="38" hidden="0" customWidth="1"/>
    <x:col min="7" max="7" width="24.3799991607666" hidden="0" customWidth="1"/>
    <x:col min="8" max="8" width="22.5" hidden="0" customWidth="1"/>
    <x:col min="9" max="9" width="30" hidden="0" customWidth="1"/>
    <x:col min="10" max="10" width="15.380000114440918" hidden="0" customWidth="1"/>
    <x:col min="11" max="11" width="13.5" hidden="0" customWidth="1"/>
    <x:col min="12" max="12" width="20.5" hidden="0" customWidth="1"/>
    <x:col min="13" max="13" width="18.3799991607666" hidden="0" customWidth="1"/>
    <x:col min="14" max="14" width="33" hidden="0" customWidth="1"/>
    <x:col min="15" max="15" width="33.880001068115234" hidden="0" customWidth="1"/>
    <x:col min="16" max="16" width="29.6299991607666" hidden="0" customWidth="1"/>
    <x:col min="17" max="17" width="31.75" hidden="0" customWidth="1"/>
    <x:col min="18" max="18" width="23.75" hidden="0" customWidth="1"/>
    <x:col min="19" max="19" width="28.3799991607666" hidden="0" customWidth="1"/>
    <x:col min="20" max="20" width="36" hidden="0" customWidth="1"/>
    <x:col min="21" max="21" width="36.630001068115234" hidden="0" customWidth="1"/>
    <x:col min="22" max="22" width="29.25" hidden="0" customWidth="1"/>
    <x:col min="23" max="23" width="28" hidden="0" customWidth="1"/>
    <x:col min="24" max="24" width="28" hidden="0" customWidth="1"/>
    <x:col min="25" max="25" width="28.5" hidden="0" customWidth="1"/>
    <x:col min="26" max="26" width="27.25" hidden="0" customWidth="1"/>
    <x:col min="27" max="27" width="35" hidden="0" customWidth="1"/>
    <x:col min="28" max="28" width="33.630001068115234" hidden="0" customWidth="1"/>
    <x:col min="29" max="29" width="26.5" hidden="0" customWidth="1"/>
    <x:col min="30" max="30" width="34.75" hidden="0" customWidth="1"/>
    <x:col min="31" max="31" width="25" hidden="0" customWidth="1"/>
    <x:col min="32" max="32" width="24.25" hidden="0" customWidth="1"/>
  </x:cols>
  <x:sheetData>
    <x:row r="1" ht="28" customHeight="1">
      <x:c r="A1" s="4" t="str">
        <x:v>Entra Authentication Posture - Example User Posture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</x:row>
    <x:row r="2">
      <x:c r="A2" s="7" t="str">
        <x:v>Synthetic example - no customer tenant data. Do not treat this as live telemetry.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  <x:c r="AE2" s="7"/>
      <x:c r="AF2" s="7"/>
    </x:row>
    <x:row r="4" ht="40" customHeight="1">
      <x:c r="A4" s="17" t="str">
        <x:v>UserPrincipalName</x:v>
      </x:c>
      <x:c r="B4" s="17" t="str">
        <x:v>DisplayName</x:v>
      </x:c>
      <x:c r="C4" s="17" t="str">
        <x:v>UserId</x:v>
      </x:c>
      <x:c r="D4" s="17" t="str">
        <x:v>UserType</x:v>
      </x:c>
      <x:c r="E4" s="17" t="str">
        <x:v>IsAdmin</x:v>
      </x:c>
      <x:c r="F4" s="17" t="str">
        <x:v>AllRegisteredMethods</x:v>
      </x:c>
      <x:c r="G4" s="17" t="str">
        <x:v>StrongestRegisteredMethod</x:v>
      </x:c>
      <x:c r="H4" s="17" t="str">
        <x:v>StrongestRegisteredScore</x:v>
      </x:c>
      <x:c r="I4" s="17" t="str">
        <x:v>StrongestRegisteredTier</x:v>
      </x:c>
      <x:c r="J4" s="17" t="str">
        <x:v>IsMfaRegistered</x:v>
      </x:c>
      <x:c r="K4" s="17" t="str">
        <x:v>IsMfaCapable</x:v>
      </x:c>
      <x:c r="L4" s="17" t="str">
        <x:v>IsPasswordlessCapable</x:v>
      </x:c>
      <x:c r="M4" s="17" t="str">
        <x:v>DefaultMfaMethod</x:v>
      </x:c>
      <x:c r="N4" s="17" t="str">
        <x:v>UserPreferredSecondaryAuthentication</x:v>
      </x:c>
      <x:c r="O4" s="17" t="str">
        <x:v>SystemPreferredAuthenticationMethods</x:v>
      </x:c>
      <x:c r="P4" s="17" t="str">
        <x:v>RegistrationReportLastUpdatedUtc</x:v>
      </x:c>
      <x:c r="Q4" s="17" t="str">
        <x:v>SuccessfulInteractiveSignInsReviewed</x:v>
      </x:c>
      <x:c r="R4" s="17" t="str">
        <x:v>SignInsWithExplicitMethod</x:v>
      </x:c>
      <x:c r="S4" s="17" t="str">
        <x:v>ExplicitMethodEvidenceCoverage</x:v>
      </x:c>
      <x:c r="T4" s="17" t="str">
        <x:v>ExplicitMethodEvidenceStatus</x:v>
      </x:c>
      <x:c r="U4" s="17" t="str">
        <x:v>SuccessfulSignInsReportingMfaRequirement</x:v>
      </x:c>
      <x:c r="V4" s="17" t="str">
        <x:v>LastSuccessfulInteractiveSignInUtc</x:v>
      </x:c>
      <x:c r="W4" s="17" t="str">
        <x:v>MethodsExplicitlyObserved</x:v>
      </x:c>
      <x:c r="X4" s="17" t="str">
        <x:v>StrongestExplicitlyObservedMethod</x:v>
      </x:c>
      <x:c r="Y4" s="17" t="str">
        <x:v>StrongestExplicitlyObservedScore</x:v>
      </x:c>
      <x:c r="Z4" s="17" t="str">
        <x:v>StrongestExplicitlyObservedTier</x:v>
      </x:c>
      <x:c r="AA4" s="17" t="str">
        <x:v>StrongestExplicitlyObservedMethodCount</x:v>
      </x:c>
      <x:c r="AB4" s="17" t="str">
        <x:v>StrongestExplicitlyObservedLastSeenUtc</x:v>
      </x:c>
      <x:c r="AC4" s="17" t="str">
        <x:v>RegistrationVsObservation</x:v>
      </x:c>
      <x:c r="AD4" s="17" t="str">
        <x:v>StrongerMethodRegisteredThanObserved</x:v>
      </x:c>
      <x:c r="AE4" s="17" t="str">
        <x:v>ObservationWindowStartUtc</x:v>
      </x:c>
      <x:c r="AF4" s="17" t="str">
        <x:v>ObservationWindowEndUtc</x:v>
      </x:c>
    </x:row>
    <x:row r="5">
      <x:c r="A5" t="str">
        <x:v>alex.taylor@example.com</x:v>
      </x:c>
      <x:c r="B5" t="str">
        <x:v>Alex Taylor</x:v>
      </x:c>
      <x:c r="C5" t="str">
        <x:v>00000000-0000-4000-8000-000000000001</x:v>
      </x:c>
      <x:c r="D5" t="str">
        <x:v>Member</x:v>
      </x:c>
      <x:c r="E5" s="31" t="b">
        <x:v>1</x:v>
      </x:c>
      <x:c r="F5" t="str">
        <x:v>FIDO2 security key; Microsoft Authenticator push</x:v>
      </x:c>
      <x:c r="G5" t="str">
        <x:v>FIDO2 security key</x:v>
      </x:c>
      <x:c r="H5" t="n">
        <x:v>100</x:v>
      </x:c>
      <x:c r="I5" t="str">
        <x:v>Phishing-resistant MFA</x:v>
      </x:c>
      <x:c r="J5" s="31" t="b">
        <x:v>1</x:v>
      </x:c>
      <x:c r="K5" s="31" t="b">
        <x:v>1</x:v>
      </x:c>
      <x:c r="L5" s="31" t="b">
        <x:v>1</x:v>
      </x:c>
      <x:c r="M5" t="str">
        <x:v>Microsoft Authenticator</x:v>
      </x:c>
      <x:c r="N5" t="str"/>
      <x:c r="O5" t="str">
        <x:v>FIDO2 security key</x:v>
      </x:c>
      <x:c r="P5" t="n">
        <x:v>46227.86201388889</x:v>
      </x:c>
      <x:c r="Q5" t="n">
        <x:v>0</x:v>
      </x:c>
      <x:c r="R5" t="n">
        <x:v>0</x:v>
      </x:c>
      <x:c r="S5" t="str">
        <x:v>0 of 0 (0.0%)</x:v>
      </x:c>
      <x:c r="T5" t="str">
        <x:v>No successful interactive sign-in in the window</x:v>
      </x:c>
      <x:c r="U5" t="n">
        <x:v>0</x:v>
      </x:c>
      <x:c r="V5" t="str"/>
      <x:c r="W5" t="str"/>
      <x:c r="X5" t="str"/>
      <x:c r="Y5" t="str"/>
      <x:c r="Z5" t="str">
        <x:v>None / unclassified</x:v>
      </x:c>
      <x:c r="AA5" t="n">
        <x:v>0</x:v>
      </x:c>
      <x:c r="AB5" t="str"/>
      <x:c r="AC5" t="str">
        <x:v>Registration only</x:v>
      </x:c>
      <x:c r="AD5" s="31" t="b">
        <x:v>0</x:v>
      </x:c>
      <x:c r="AE5" t="n">
        <x:v>46226.86201388889</x:v>
      </x:c>
      <x:c r="AF5" t="n">
        <x:v>46227.86201388889</x:v>
      </x:c>
    </x:row>
    <x:row r="6">
      <x:c r="A6" t="str">
        <x:v>jamie.morgan@example.com</x:v>
      </x:c>
      <x:c r="B6" t="str">
        <x:v>Jamie Morgan</x:v>
      </x:c>
      <x:c r="C6" t="str">
        <x:v>00000000-0000-4000-8000-000000000002</x:v>
      </x:c>
      <x:c r="D6" t="str">
        <x:v>Member</x:v>
      </x:c>
      <x:c r="E6" s="31" t="b">
        <x:v>0</x:v>
      </x:c>
      <x:c r="F6" t="str">
        <x:v>Windows Hello for Business; Microsoft Authenticator push</x:v>
      </x:c>
      <x:c r="G6" t="str">
        <x:v>Windows Hello for Business</x:v>
      </x:c>
      <x:c r="H6" t="n">
        <x:v>95</x:v>
      </x:c>
      <x:c r="I6" t="str">
        <x:v>Phishing-resistant MFA</x:v>
      </x:c>
      <x:c r="J6" s="31" t="b">
        <x:v>1</x:v>
      </x:c>
      <x:c r="K6" s="31" t="b">
        <x:v>1</x:v>
      </x:c>
      <x:c r="L6" s="31" t="b">
        <x:v>1</x:v>
      </x:c>
      <x:c r="M6" t="str">
        <x:v>Microsoft Authenticator</x:v>
      </x:c>
      <x:c r="N6" t="str"/>
      <x:c r="O6" t="str">
        <x:v>Windows Hello for Business</x:v>
      </x:c>
      <x:c r="P6" t="n">
        <x:v>46227.86201388889</x:v>
      </x:c>
      <x:c r="Q6" t="n">
        <x:v>0</x:v>
      </x:c>
      <x:c r="R6" t="n">
        <x:v>0</x:v>
      </x:c>
      <x:c r="S6" t="str">
        <x:v>0 of 0 (0.0%)</x:v>
      </x:c>
      <x:c r="T6" t="str">
        <x:v>No successful interactive sign-in in the window</x:v>
      </x:c>
      <x:c r="U6" t="n">
        <x:v>0</x:v>
      </x:c>
      <x:c r="V6" t="str"/>
      <x:c r="W6" t="str"/>
      <x:c r="X6" t="str"/>
      <x:c r="Y6" t="str"/>
      <x:c r="Z6" t="str">
        <x:v>None / unclassified</x:v>
      </x:c>
      <x:c r="AA6" t="n">
        <x:v>0</x:v>
      </x:c>
      <x:c r="AB6" t="str"/>
      <x:c r="AC6" t="str">
        <x:v>Registration only</x:v>
      </x:c>
      <x:c r="AD6" s="31" t="b">
        <x:v>0</x:v>
      </x:c>
      <x:c r="AE6" t="n">
        <x:v>46226.86201388889</x:v>
      </x:c>
      <x:c r="AF6" t="n">
        <x:v>46227.86201388889</x:v>
      </x:c>
    </x:row>
    <x:row r="7">
      <x:c r="A7" t="str">
        <x:v>casey.lee@example.com</x:v>
      </x:c>
      <x:c r="B7" t="str">
        <x:v>Casey Lee</x:v>
      </x:c>
      <x:c r="C7" t="str">
        <x:v>00000000-0000-4000-8000-000000000003</x:v>
      </x:c>
      <x:c r="D7" t="str">
        <x:v>Member</x:v>
      </x:c>
      <x:c r="E7" s="31" t="b">
        <x:v>0</x:v>
      </x:c>
      <x:c r="F7" t="str">
        <x:v>Microsoft Authenticator push; Software OATH</x:v>
      </x:c>
      <x:c r="G7" t="str">
        <x:v>Microsoft Authenticator push</x:v>
      </x:c>
      <x:c r="H7" t="n">
        <x:v>70</x:v>
      </x:c>
      <x:c r="I7" t="str">
        <x:v>Strong MFA (app, token, or TAP)</x:v>
      </x:c>
      <x:c r="J7" s="31" t="b">
        <x:v>1</x:v>
      </x:c>
      <x:c r="K7" s="31" t="b">
        <x:v>1</x:v>
      </x:c>
      <x:c r="L7" s="31" t="b">
        <x:v>0</x:v>
      </x:c>
      <x:c r="M7" t="str">
        <x:v>Microsoft Authenticator</x:v>
      </x:c>
      <x:c r="N7" t="str"/>
      <x:c r="O7" t="str">
        <x:v>Microsoft Authenticator</x:v>
      </x:c>
      <x:c r="P7" t="n">
        <x:v>46227.86201388889</x:v>
      </x:c>
      <x:c r="Q7" t="n">
        <x:v>14</x:v>
      </x:c>
      <x:c r="R7" t="n">
        <x:v>5</x:v>
      </x:c>
      <x:c r="S7" t="str">
        <x:v>5 of 14 (35.7%)</x:v>
      </x:c>
      <x:c r="T7" t="str">
        <x:v>Partial explicit-method evidence</x:v>
      </x:c>
      <x:c r="U7" t="n">
        <x:v>14</x:v>
      </x:c>
      <x:c r="V7" t="n">
        <x:v>46227.82929398148</x:v>
      </x:c>
      <x:c r="W7" t="str">
        <x:v>Microsoft Authenticator push</x:v>
      </x:c>
      <x:c r="X7" t="str">
        <x:v>Microsoft Authenticator push</x:v>
      </x:c>
      <x:c r="Y7" t="n">
        <x:v>70</x:v>
      </x:c>
      <x:c r="Z7" t="str">
        <x:v>Strong MFA (app, token, or TAP)</x:v>
      </x:c>
      <x:c r="AA7" t="n">
        <x:v>5</x:v>
      </x:c>
      <x:c r="AB7" t="n">
        <x:v>46227.82929398148</x:v>
      </x:c>
      <x:c r="AC7" t="str">
        <x:v>Registration and observation agree</x:v>
      </x:c>
      <x:c r="AD7" s="31" t="b">
        <x:v>0</x:v>
      </x:c>
      <x:c r="AE7" t="n">
        <x:v>46226.86201388889</x:v>
      </x:c>
      <x:c r="AF7" t="n">
        <x:v>46227.86201388889</x:v>
      </x:c>
    </x:row>
    <x:row r="8">
      <x:c r="A8" t="str">
        <x:v>riley.chen@example.com</x:v>
      </x:c>
      <x:c r="B8" t="str">
        <x:v>Riley Chen</x:v>
      </x:c>
      <x:c r="C8" t="str">
        <x:v>00000000-0000-4000-8000-000000000004</x:v>
      </x:c>
      <x:c r="D8" t="str">
        <x:v>Member</x:v>
      </x:c>
      <x:c r="E8" s="31" t="b">
        <x:v>0</x:v>
      </x:c>
      <x:c r="F8" t="str">
        <x:v>Microsoft Authenticator push</x:v>
      </x:c>
      <x:c r="G8" t="str">
        <x:v>Microsoft Authenticator push</x:v>
      </x:c>
      <x:c r="H8" t="n">
        <x:v>70</x:v>
      </x:c>
      <x:c r="I8" t="str">
        <x:v>Strong MFA (app, token, or TAP)</x:v>
      </x:c>
      <x:c r="J8" s="31" t="b">
        <x:v>1</x:v>
      </x:c>
      <x:c r="K8" s="31" t="b">
        <x:v>1</x:v>
      </x:c>
      <x:c r="L8" s="31" t="b">
        <x:v>0</x:v>
      </x:c>
      <x:c r="M8" t="str">
        <x:v>Microsoft Authenticator</x:v>
      </x:c>
      <x:c r="N8" t="str"/>
      <x:c r="O8" t="str">
        <x:v>Microsoft Authenticator</x:v>
      </x:c>
      <x:c r="P8" t="n">
        <x:v>46227.86201388889</x:v>
      </x:c>
      <x:c r="Q8" t="n">
        <x:v>0</x:v>
      </x:c>
      <x:c r="R8" t="n">
        <x:v>0</x:v>
      </x:c>
      <x:c r="S8" t="str">
        <x:v>0 of 0 (0.0%)</x:v>
      </x:c>
      <x:c r="T8" t="str">
        <x:v>No successful interactive sign-in in the window</x:v>
      </x:c>
      <x:c r="U8" t="n">
        <x:v>0</x:v>
      </x:c>
      <x:c r="V8" t="str"/>
      <x:c r="W8" t="str"/>
      <x:c r="X8" t="str"/>
      <x:c r="Y8" t="str"/>
      <x:c r="Z8" t="str">
        <x:v>None / unclassified</x:v>
      </x:c>
      <x:c r="AA8" t="n">
        <x:v>0</x:v>
      </x:c>
      <x:c r="AB8" t="str"/>
      <x:c r="AC8" t="str">
        <x:v>Registration only</x:v>
      </x:c>
      <x:c r="AD8" s="31" t="b">
        <x:v>0</x:v>
      </x:c>
      <x:c r="AE8" t="n">
        <x:v>46226.86201388889</x:v>
      </x:c>
      <x:c r="AF8" t="n">
        <x:v>46227.86201388889</x:v>
      </x:c>
    </x:row>
    <x:row r="9">
      <x:c r="A9" t="str">
        <x:v>jordan.patel@example.com</x:v>
      </x:c>
      <x:c r="B9" t="str">
        <x:v>Jordan Patel</x:v>
      </x:c>
      <x:c r="C9" t="str">
        <x:v>00000000-0000-4000-8000-000000000005</x:v>
      </x:c>
      <x:c r="D9" t="str">
        <x:v>Member</x:v>
      </x:c>
      <x:c r="E9" s="31" t="b">
        <x:v>0</x:v>
      </x:c>
      <x:c r="F9" t="str">
        <x:v>Hardware OATH token</x:v>
      </x:c>
      <x:c r="G9" t="str">
        <x:v>Hardware OATH token</x:v>
      </x:c>
      <x:c r="H9" t="n">
        <x:v>55</x:v>
      </x:c>
      <x:c r="I9" t="str">
        <x:v>Strong MFA (app, token, or TAP)</x:v>
      </x:c>
      <x:c r="J9" s="31" t="b">
        <x:v>1</x:v>
      </x:c>
      <x:c r="K9" s="31" t="b">
        <x:v>1</x:v>
      </x:c>
      <x:c r="L9" s="31" t="b">
        <x:v>0</x:v>
      </x:c>
      <x:c r="M9" t="str">
        <x:v>Hardware OATH token</x:v>
      </x:c>
      <x:c r="N9" t="str"/>
      <x:c r="O9" t="str">
        <x:v>Hardware OATH token</x:v>
      </x:c>
      <x:c r="P9" t="n">
        <x:v>46227.86201388889</x:v>
      </x:c>
      <x:c r="Q9" t="n">
        <x:v>0</x:v>
      </x:c>
      <x:c r="R9" t="n">
        <x:v>0</x:v>
      </x:c>
      <x:c r="S9" t="str">
        <x:v>0 of 0 (0.0%)</x:v>
      </x:c>
      <x:c r="T9" t="str">
        <x:v>No successful interactive sign-in in the window</x:v>
      </x:c>
      <x:c r="U9" t="n">
        <x:v>0</x:v>
      </x:c>
      <x:c r="V9" t="str"/>
      <x:c r="W9" t="str"/>
      <x:c r="X9" t="str"/>
      <x:c r="Y9" t="str"/>
      <x:c r="Z9" t="str">
        <x:v>None / unclassified</x:v>
      </x:c>
      <x:c r="AA9" t="n">
        <x:v>0</x:v>
      </x:c>
      <x:c r="AB9" t="str"/>
      <x:c r="AC9" t="str">
        <x:v>Registration only</x:v>
      </x:c>
      <x:c r="AD9" s="31" t="b">
        <x:v>0</x:v>
      </x:c>
      <x:c r="AE9" t="n">
        <x:v>46226.86201388889</x:v>
      </x:c>
      <x:c r="AF9" t="n">
        <x:v>46227.86201388889</x:v>
      </x:c>
    </x:row>
    <x:row r="10">
      <x:c r="A10" t="str">
        <x:v>morgan.ellis@example.com</x:v>
      </x:c>
      <x:c r="B10" t="str">
        <x:v>Morgan Ellis</x:v>
      </x:c>
      <x:c r="C10" t="str">
        <x:v>00000000-0000-4000-8000-000000000006</x:v>
      </x:c>
      <x:c r="D10" t="str">
        <x:v>Member</x:v>
      </x:c>
      <x:c r="E10" s="31" t="b">
        <x:v>0</x:v>
      </x:c>
      <x:c r="F10" t="str">
        <x:v>Temporary Access Pass</x:v>
      </x:c>
      <x:c r="G10" t="str">
        <x:v>Temporary Access Pass</x:v>
      </x:c>
      <x:c r="H10" t="n">
        <x:v>60</x:v>
      </x:c>
      <x:c r="I10" t="str">
        <x:v>Strong MFA (app, token, or TAP)</x:v>
      </x:c>
      <x:c r="J10" s="31" t="b">
        <x:v>1</x:v>
      </x:c>
      <x:c r="K10" s="31" t="b">
        <x:v>1</x:v>
      </x:c>
      <x:c r="L10" s="31" t="b">
        <x:v>0</x:v>
      </x:c>
      <x:c r="M10" t="str">
        <x:v>Temporary Access Pass</x:v>
      </x:c>
      <x:c r="N10" t="str"/>
      <x:c r="O10" t="str">
        <x:v>Temporary Access Pass</x:v>
      </x:c>
      <x:c r="P10" t="n">
        <x:v>46227.86201388889</x:v>
      </x:c>
      <x:c r="Q10" t="n">
        <x:v>0</x:v>
      </x:c>
      <x:c r="R10" t="n">
        <x:v>0</x:v>
      </x:c>
      <x:c r="S10" t="str">
        <x:v>0 of 0 (0.0%)</x:v>
      </x:c>
      <x:c r="T10" t="str">
        <x:v>No successful interactive sign-in in the window</x:v>
      </x:c>
      <x:c r="U10" t="n">
        <x:v>0</x:v>
      </x:c>
      <x:c r="V10" t="str"/>
      <x:c r="W10" t="str"/>
      <x:c r="X10" t="str"/>
      <x:c r="Y10" t="str"/>
      <x:c r="Z10" t="str">
        <x:v>None / unclassified</x:v>
      </x:c>
      <x:c r="AA10" t="n">
        <x:v>0</x:v>
      </x:c>
      <x:c r="AB10" t="str"/>
      <x:c r="AC10" t="str">
        <x:v>Registration only</x:v>
      </x:c>
      <x:c r="AD10" s="31" t="b">
        <x:v>0</x:v>
      </x:c>
      <x:c r="AE10" t="n">
        <x:v>46226.86201388889</x:v>
      </x:c>
      <x:c r="AF10" t="n">
        <x:v>46227.86201388889</x:v>
      </x:c>
    </x:row>
    <x:row r="11">
      <x:c r="A11" t="str">
        <x:v>sample.user07@example.com</x:v>
      </x:c>
      <x:c r="B11" t="str">
        <x:v>Sample User 07</x:v>
      </x:c>
      <x:c r="C11" t="str">
        <x:v>00000000-0000-4000-8000-000000000007</x:v>
      </x:c>
      <x:c r="D11" t="str">
        <x:v>Member</x:v>
      </x:c>
      <x:c r="E11" s="31" t="b">
        <x:v>1</x:v>
      </x:c>
      <x:c r="F11" t="str"/>
      <x:c r="G11" t="str"/>
      <x:c r="H11" t="n">
        <x:v>0</x:v>
      </x:c>
      <x:c r="I11" t="str">
        <x:v>None / unclassified</x:v>
      </x:c>
      <x:c r="J11" s="31" t="b">
        <x:v>0</x:v>
      </x:c>
      <x:c r="K11" s="31" t="b">
        <x:v>0</x:v>
      </x:c>
      <x:c r="L11" s="31" t="b">
        <x:v>0</x:v>
      </x:c>
      <x:c r="M11" t="str"/>
      <x:c r="N11" t="str"/>
      <x:c r="O11" t="str"/>
      <x:c r="P11" t="n">
        <x:v>46227.86201388889</x:v>
      </x:c>
      <x:c r="Q11" t="n">
        <x:v>0</x:v>
      </x:c>
      <x:c r="R11" t="n">
        <x:v>0</x:v>
      </x:c>
      <x:c r="S11" t="str">
        <x:v>0 of 0 (0.0%)</x:v>
      </x:c>
      <x:c r="T11" t="str">
        <x:v>No successful interactive sign-in in the window</x:v>
      </x:c>
      <x:c r="U11" t="n">
        <x:v>0</x:v>
      </x:c>
      <x:c r="V11" t="str"/>
      <x:c r="W11" t="str"/>
      <x:c r="X11" t="str"/>
      <x:c r="Y11" t="str"/>
      <x:c r="Z11" t="str">
        <x:v>None / unclassified</x:v>
      </x:c>
      <x:c r="AA11" t="n">
        <x:v>0</x:v>
      </x:c>
      <x:c r="AB11" t="str"/>
      <x:c r="AC11" t="str">
        <x:v>No registered method</x:v>
      </x:c>
      <x:c r="AD11" s="31" t="b">
        <x:v>0</x:v>
      </x:c>
      <x:c r="AE11" t="n">
        <x:v>46226.86201388889</x:v>
      </x:c>
      <x:c r="AF11" t="n">
        <x:v>46227.86201388889</x:v>
      </x:c>
    </x:row>
    <x:row r="12">
      <x:c r="A12" t="str">
        <x:v>sample.user08@example.com</x:v>
      </x:c>
      <x:c r="B12" t="str">
        <x:v>Sample User 08</x:v>
      </x:c>
      <x:c r="C12" t="str">
        <x:v>00000000-0000-4000-8000-000000000008</x:v>
      </x:c>
      <x:c r="D12" t="str">
        <x:v>Member</x:v>
      </x:c>
      <x:c r="E12" s="31" t="b">
        <x:v>0</x:v>
      </x:c>
      <x:c r="F12" t="str"/>
      <x:c r="G12" t="str"/>
      <x:c r="H12" t="n">
        <x:v>0</x:v>
      </x:c>
      <x:c r="I12" t="str">
        <x:v>None / unclassified</x:v>
      </x:c>
      <x:c r="J12" s="31" t="b">
        <x:v>0</x:v>
      </x:c>
      <x:c r="K12" s="31" t="b">
        <x:v>0</x:v>
      </x:c>
      <x:c r="L12" s="31" t="b">
        <x:v>0</x:v>
      </x:c>
      <x:c r="M12" t="str"/>
      <x:c r="N12" t="str"/>
      <x:c r="O12" t="str"/>
      <x:c r="P12" t="n">
        <x:v>46227.86201388889</x:v>
      </x:c>
      <x:c r="Q12" t="n">
        <x:v>0</x:v>
      </x:c>
      <x:c r="R12" t="n">
        <x:v>0</x:v>
      </x:c>
      <x:c r="S12" t="str">
        <x:v>0 of 0 (0.0%)</x:v>
      </x:c>
      <x:c r="T12" t="str">
        <x:v>No successful interactive sign-in in the window</x:v>
      </x:c>
      <x:c r="U12" t="n">
        <x:v>0</x:v>
      </x:c>
      <x:c r="V12" t="str"/>
      <x:c r="W12" t="str"/>
      <x:c r="X12" t="str"/>
      <x:c r="Y12" t="str"/>
      <x:c r="Z12" t="str">
        <x:v>None / unclassified</x:v>
      </x:c>
      <x:c r="AA12" t="n">
        <x:v>0</x:v>
      </x:c>
      <x:c r="AB12" t="str"/>
      <x:c r="AC12" t="str">
        <x:v>No registered method</x:v>
      </x:c>
      <x:c r="AD12" s="31" t="b">
        <x:v>0</x:v>
      </x:c>
      <x:c r="AE12" t="n">
        <x:v>46226.86201388889</x:v>
      </x:c>
      <x:c r="AF12" t="n">
        <x:v>46227.86201388889</x:v>
      </x:c>
    </x:row>
    <x:row r="13">
      <x:c r="A13" t="str">
        <x:v>sample.user09@example.com</x:v>
      </x:c>
      <x:c r="B13" t="str">
        <x:v>Sample User 09</x:v>
      </x:c>
      <x:c r="C13" t="str">
        <x:v>00000000-0000-4000-8000-000000000009</x:v>
      </x:c>
      <x:c r="D13" t="str">
        <x:v>Member</x:v>
      </x:c>
      <x:c r="E13" s="31" t="b">
        <x:v>0</x:v>
      </x:c>
      <x:c r="F13" t="str"/>
      <x:c r="G13" t="str"/>
      <x:c r="H13" t="n">
        <x:v>0</x:v>
      </x:c>
      <x:c r="I13" t="str">
        <x:v>None / unclassified</x:v>
      </x:c>
      <x:c r="J13" s="31" t="b">
        <x:v>0</x:v>
      </x:c>
      <x:c r="K13" s="31" t="b">
        <x:v>0</x:v>
      </x:c>
      <x:c r="L13" s="31" t="b">
        <x:v>0</x:v>
      </x:c>
      <x:c r="M13" t="str"/>
      <x:c r="N13" t="str"/>
      <x:c r="O13" t="str"/>
      <x:c r="P13" t="n">
        <x:v>46227.86201388889</x:v>
      </x:c>
      <x:c r="Q13" t="n">
        <x:v>0</x:v>
      </x:c>
      <x:c r="R13" t="n">
        <x:v>0</x:v>
      </x:c>
      <x:c r="S13" t="str">
        <x:v>0 of 0 (0.0%)</x:v>
      </x:c>
      <x:c r="T13" t="str">
        <x:v>No successful interactive sign-in in the window</x:v>
      </x:c>
      <x:c r="U13" t="n">
        <x:v>0</x:v>
      </x:c>
      <x:c r="V13" t="str"/>
      <x:c r="W13" t="str"/>
      <x:c r="X13" t="str"/>
      <x:c r="Y13" t="str"/>
      <x:c r="Z13" t="str">
        <x:v>None / unclassified</x:v>
      </x:c>
      <x:c r="AA13" t="n">
        <x:v>0</x:v>
      </x:c>
      <x:c r="AB13" t="str"/>
      <x:c r="AC13" t="str">
        <x:v>No registered method</x:v>
      </x:c>
      <x:c r="AD13" s="31" t="b">
        <x:v>0</x:v>
      </x:c>
      <x:c r="AE13" t="n">
        <x:v>46226.86201388889</x:v>
      </x:c>
      <x:c r="AF13" t="n">
        <x:v>46227.86201388889</x:v>
      </x:c>
    </x:row>
    <x:row r="14">
      <x:c r="A14" t="str">
        <x:v>sample.user10@example.com</x:v>
      </x:c>
      <x:c r="B14" t="str">
        <x:v>Sample User 10</x:v>
      </x:c>
      <x:c r="C14" t="str">
        <x:v>00000000-0000-4000-8000-000000000010</x:v>
      </x:c>
      <x:c r="D14" t="str">
        <x:v>Member</x:v>
      </x:c>
      <x:c r="E14" s="31" t="b">
        <x:v>0</x:v>
      </x:c>
      <x:c r="F14" t="str"/>
      <x:c r="G14" t="str"/>
      <x:c r="H14" t="n">
        <x:v>0</x:v>
      </x:c>
      <x:c r="I14" t="str">
        <x:v>None / unclassified</x:v>
      </x:c>
      <x:c r="J14" s="31" t="b">
        <x:v>0</x:v>
      </x:c>
      <x:c r="K14" s="31" t="b">
        <x:v>0</x:v>
      </x:c>
      <x:c r="L14" s="31" t="b">
        <x:v>0</x:v>
      </x:c>
      <x:c r="M14" t="str"/>
      <x:c r="N14" t="str"/>
      <x:c r="O14" t="str"/>
      <x:c r="P14" t="n">
        <x:v>46227.86201388889</x:v>
      </x:c>
      <x:c r="Q14" t="n">
        <x:v>0</x:v>
      </x:c>
      <x:c r="R14" t="n">
        <x:v>0</x:v>
      </x:c>
      <x:c r="S14" t="str">
        <x:v>0 of 0 (0.0%)</x:v>
      </x:c>
      <x:c r="T14" t="str">
        <x:v>No successful interactive sign-in in the window</x:v>
      </x:c>
      <x:c r="U14" t="n">
        <x:v>0</x:v>
      </x:c>
      <x:c r="V14" t="str"/>
      <x:c r="W14" t="str"/>
      <x:c r="X14" t="str"/>
      <x:c r="Y14" t="str"/>
      <x:c r="Z14" t="str">
        <x:v>None / unclassified</x:v>
      </x:c>
      <x:c r="AA14" t="n">
        <x:v>0</x:v>
      </x:c>
      <x:c r="AB14" t="str"/>
      <x:c r="AC14" t="str">
        <x:v>No registered method</x:v>
      </x:c>
      <x:c r="AD14" s="31" t="b">
        <x:v>0</x:v>
      </x:c>
      <x:c r="AE14" t="n">
        <x:v>46226.86201388889</x:v>
      </x:c>
      <x:c r="AF14" t="n">
        <x:v>46227.86201388889</x:v>
      </x:c>
    </x:row>
    <x:row r="15">
      <x:c r="A15" t="str">
        <x:v>sample.user11@example.com</x:v>
      </x:c>
      <x:c r="B15" t="str">
        <x:v>Sample User 11</x:v>
      </x:c>
      <x:c r="C15" t="str">
        <x:v>00000000-0000-4000-8000-000000000011</x:v>
      </x:c>
      <x:c r="D15" t="str">
        <x:v>Member</x:v>
      </x:c>
      <x:c r="E15" s="31" t="b">
        <x:v>0</x:v>
      </x:c>
      <x:c r="F15" t="str"/>
      <x:c r="G15" t="str"/>
      <x:c r="H15" t="n">
        <x:v>0</x:v>
      </x:c>
      <x:c r="I15" t="str">
        <x:v>None / unclassified</x:v>
      </x:c>
      <x:c r="J15" s="31" t="b">
        <x:v>0</x:v>
      </x:c>
      <x:c r="K15" s="31" t="b">
        <x:v>0</x:v>
      </x:c>
      <x:c r="L15" s="31" t="b">
        <x:v>0</x:v>
      </x:c>
      <x:c r="M15" t="str"/>
      <x:c r="N15" t="str"/>
      <x:c r="O15" t="str"/>
      <x:c r="P15" t="n">
        <x:v>46227.86201388889</x:v>
      </x:c>
      <x:c r="Q15" t="n">
        <x:v>0</x:v>
      </x:c>
      <x:c r="R15" t="n">
        <x:v>0</x:v>
      </x:c>
      <x:c r="S15" t="str">
        <x:v>0 of 0 (0.0%)</x:v>
      </x:c>
      <x:c r="T15" t="str">
        <x:v>No successful interactive sign-in in the window</x:v>
      </x:c>
      <x:c r="U15" t="n">
        <x:v>0</x:v>
      </x:c>
      <x:c r="V15" t="str"/>
      <x:c r="W15" t="str"/>
      <x:c r="X15" t="str"/>
      <x:c r="Y15" t="str"/>
      <x:c r="Z15" t="str">
        <x:v>None / unclassified</x:v>
      </x:c>
      <x:c r="AA15" t="n">
        <x:v>0</x:v>
      </x:c>
      <x:c r="AB15" t="str"/>
      <x:c r="AC15" t="str">
        <x:v>No registered method</x:v>
      </x:c>
      <x:c r="AD15" s="31" t="b">
        <x:v>0</x:v>
      </x:c>
      <x:c r="AE15" t="n">
        <x:v>46226.86201388889</x:v>
      </x:c>
      <x:c r="AF15" t="n">
        <x:v>46227.86201388889</x:v>
      </x:c>
    </x:row>
    <x:row r="16">
      <x:c r="A16" t="str">
        <x:v>sample.user12@example.com</x:v>
      </x:c>
      <x:c r="B16" t="str">
        <x:v>Sample User 12</x:v>
      </x:c>
      <x:c r="C16" t="str">
        <x:v>00000000-0000-4000-8000-000000000012</x:v>
      </x:c>
      <x:c r="D16" t="str">
        <x:v>Member</x:v>
      </x:c>
      <x:c r="E16" s="31" t="b">
        <x:v>0</x:v>
      </x:c>
      <x:c r="F16" t="str"/>
      <x:c r="G16" t="str"/>
      <x:c r="H16" t="n">
        <x:v>0</x:v>
      </x:c>
      <x:c r="I16" t="str">
        <x:v>None / unclassified</x:v>
      </x:c>
      <x:c r="J16" s="31" t="b">
        <x:v>0</x:v>
      </x:c>
      <x:c r="K16" s="31" t="b">
        <x:v>0</x:v>
      </x:c>
      <x:c r="L16" s="31" t="b">
        <x:v>0</x:v>
      </x:c>
      <x:c r="M16" t="str"/>
      <x:c r="N16" t="str"/>
      <x:c r="O16" t="str"/>
      <x:c r="P16" t="n">
        <x:v>46227.86201388889</x:v>
      </x:c>
      <x:c r="Q16" t="n">
        <x:v>0</x:v>
      </x:c>
      <x:c r="R16" t="n">
        <x:v>0</x:v>
      </x:c>
      <x:c r="S16" t="str">
        <x:v>0 of 0 (0.0%)</x:v>
      </x:c>
      <x:c r="T16" t="str">
        <x:v>No successful interactive sign-in in the window</x:v>
      </x:c>
      <x:c r="U16" t="n">
        <x:v>0</x:v>
      </x:c>
      <x:c r="V16" t="str"/>
      <x:c r="W16" t="str"/>
      <x:c r="X16" t="str"/>
      <x:c r="Y16" t="str"/>
      <x:c r="Z16" t="str">
        <x:v>None / unclassified</x:v>
      </x:c>
      <x:c r="AA16" t="n">
        <x:v>0</x:v>
      </x:c>
      <x:c r="AB16" t="str"/>
      <x:c r="AC16" t="str">
        <x:v>No registered method</x:v>
      </x:c>
      <x:c r="AD16" s="31" t="b">
        <x:v>0</x:v>
      </x:c>
      <x:c r="AE16" t="n">
        <x:v>46226.86201388889</x:v>
      </x:c>
      <x:c r="AF16" t="n">
        <x:v>46227.86201388889</x:v>
      </x:c>
    </x:row>
    <x:row r="17">
      <x:c r="A17" t="str">
        <x:v>sample.user13@example.com</x:v>
      </x:c>
      <x:c r="B17" t="str">
        <x:v>Sample User 13</x:v>
      </x:c>
      <x:c r="C17" t="str">
        <x:v>00000000-0000-4000-8000-000000000013</x:v>
      </x:c>
      <x:c r="D17" t="str">
        <x:v>Member</x:v>
      </x:c>
      <x:c r="E17" s="31" t="b">
        <x:v>0</x:v>
      </x:c>
      <x:c r="F17" t="str"/>
      <x:c r="G17" t="str"/>
      <x:c r="H17" t="n">
        <x:v>0</x:v>
      </x:c>
      <x:c r="I17" t="str">
        <x:v>None / unclassified</x:v>
      </x:c>
      <x:c r="J17" s="31" t="b">
        <x:v>0</x:v>
      </x:c>
      <x:c r="K17" s="31" t="b">
        <x:v>0</x:v>
      </x:c>
      <x:c r="L17" s="31" t="b">
        <x:v>0</x:v>
      </x:c>
      <x:c r="M17" t="str"/>
      <x:c r="N17" t="str"/>
      <x:c r="O17" t="str"/>
      <x:c r="P17" t="n">
        <x:v>46227.86201388889</x:v>
      </x:c>
      <x:c r="Q17" t="n">
        <x:v>0</x:v>
      </x:c>
      <x:c r="R17" t="n">
        <x:v>0</x:v>
      </x:c>
      <x:c r="S17" t="str">
        <x:v>0 of 0 (0.0%)</x:v>
      </x:c>
      <x:c r="T17" t="str">
        <x:v>No successful interactive sign-in in the window</x:v>
      </x:c>
      <x:c r="U17" t="n">
        <x:v>0</x:v>
      </x:c>
      <x:c r="V17" t="str"/>
      <x:c r="W17" t="str"/>
      <x:c r="X17" t="str"/>
      <x:c r="Y17" t="str"/>
      <x:c r="Z17" t="str">
        <x:v>None / unclassified</x:v>
      </x:c>
      <x:c r="AA17" t="n">
        <x:v>0</x:v>
      </x:c>
      <x:c r="AB17" t="str"/>
      <x:c r="AC17" t="str">
        <x:v>No registered method</x:v>
      </x:c>
      <x:c r="AD17" s="31" t="b">
        <x:v>0</x:v>
      </x:c>
      <x:c r="AE17" t="n">
        <x:v>46226.86201388889</x:v>
      </x:c>
      <x:c r="AF17" t="n">
        <x:v>46227.86201388889</x:v>
      </x:c>
    </x:row>
    <x:row r="18">
      <x:c r="A18" t="str">
        <x:v>sample.user14@example.com</x:v>
      </x:c>
      <x:c r="B18" t="str">
        <x:v>Sample User 14</x:v>
      </x:c>
      <x:c r="C18" t="str">
        <x:v>00000000-0000-4000-8000-000000000014</x:v>
      </x:c>
      <x:c r="D18" t="str">
        <x:v>Member</x:v>
      </x:c>
      <x:c r="E18" s="31" t="b">
        <x:v>0</x:v>
      </x:c>
      <x:c r="F18" t="str"/>
      <x:c r="G18" t="str"/>
      <x:c r="H18" t="n">
        <x:v>0</x:v>
      </x:c>
      <x:c r="I18" t="str">
        <x:v>None / unclassified</x:v>
      </x:c>
      <x:c r="J18" s="31" t="b">
        <x:v>0</x:v>
      </x:c>
      <x:c r="K18" s="31" t="b">
        <x:v>0</x:v>
      </x:c>
      <x:c r="L18" s="31" t="b">
        <x:v>0</x:v>
      </x:c>
      <x:c r="M18" t="str"/>
      <x:c r="N18" t="str"/>
      <x:c r="O18" t="str"/>
      <x:c r="P18" t="n">
        <x:v>46227.86201388889</x:v>
      </x:c>
      <x:c r="Q18" t="n">
        <x:v>0</x:v>
      </x:c>
      <x:c r="R18" t="n">
        <x:v>0</x:v>
      </x:c>
      <x:c r="S18" t="str">
        <x:v>0 of 0 (0.0%)</x:v>
      </x:c>
      <x:c r="T18" t="str">
        <x:v>No successful interactive sign-in in the window</x:v>
      </x:c>
      <x:c r="U18" t="n">
        <x:v>0</x:v>
      </x:c>
      <x:c r="V18" t="str"/>
      <x:c r="W18" t="str"/>
      <x:c r="X18" t="str"/>
      <x:c r="Y18" t="str"/>
      <x:c r="Z18" t="str">
        <x:v>None / unclassified</x:v>
      </x:c>
      <x:c r="AA18" t="n">
        <x:v>0</x:v>
      </x:c>
      <x:c r="AB18" t="str"/>
      <x:c r="AC18" t="str">
        <x:v>No registered method</x:v>
      </x:c>
      <x:c r="AD18" s="31" t="b">
        <x:v>0</x:v>
      </x:c>
      <x:c r="AE18" t="n">
        <x:v>46226.86201388889</x:v>
      </x:c>
      <x:c r="AF18" t="n">
        <x:v>46227.86201388889</x:v>
      </x:c>
    </x:row>
    <x:row r="19">
      <x:c r="A19" t="str">
        <x:v>sample.user15@example.com</x:v>
      </x:c>
      <x:c r="B19" t="str">
        <x:v>Sample User 15</x:v>
      </x:c>
      <x:c r="C19" t="str">
        <x:v>00000000-0000-4000-8000-000000000015</x:v>
      </x:c>
      <x:c r="D19" t="str">
        <x:v>Member</x:v>
      </x:c>
      <x:c r="E19" s="31" t="b">
        <x:v>0</x:v>
      </x:c>
      <x:c r="F19" t="str"/>
      <x:c r="G19" t="str"/>
      <x:c r="H19" t="n">
        <x:v>0</x:v>
      </x:c>
      <x:c r="I19" t="str">
        <x:v>None / unclassified</x:v>
      </x:c>
      <x:c r="J19" s="31" t="b">
        <x:v>0</x:v>
      </x:c>
      <x:c r="K19" s="31" t="b">
        <x:v>0</x:v>
      </x:c>
      <x:c r="L19" s="31" t="b">
        <x:v>0</x:v>
      </x:c>
      <x:c r="M19" t="str"/>
      <x:c r="N19" t="str"/>
      <x:c r="O19" t="str"/>
      <x:c r="P19" t="n">
        <x:v>46227.86201388889</x:v>
      </x:c>
      <x:c r="Q19" t="n">
        <x:v>0</x:v>
      </x:c>
      <x:c r="R19" t="n">
        <x:v>0</x:v>
      </x:c>
      <x:c r="S19" t="str">
        <x:v>0 of 0 (0.0%)</x:v>
      </x:c>
      <x:c r="T19" t="str">
        <x:v>No successful interactive sign-in in the window</x:v>
      </x:c>
      <x:c r="U19" t="n">
        <x:v>0</x:v>
      </x:c>
      <x:c r="V19" t="str"/>
      <x:c r="W19" t="str"/>
      <x:c r="X19" t="str"/>
      <x:c r="Y19" t="str"/>
      <x:c r="Z19" t="str">
        <x:v>None / unclassified</x:v>
      </x:c>
      <x:c r="AA19" t="n">
        <x:v>0</x:v>
      </x:c>
      <x:c r="AB19" t="str"/>
      <x:c r="AC19" t="str">
        <x:v>No registered method</x:v>
      </x:c>
      <x:c r="AD19" s="31" t="b">
        <x:v>0</x:v>
      </x:c>
      <x:c r="AE19" t="n">
        <x:v>46226.86201388889</x:v>
      </x:c>
      <x:c r="AF19" t="n">
        <x:v>46227.86201388889</x:v>
      </x:c>
    </x:row>
    <x:row r="20">
      <x:c r="A20" t="str">
        <x:v>sample.user16@example.com</x:v>
      </x:c>
      <x:c r="B20" t="str">
        <x:v>Sample User 16</x:v>
      </x:c>
      <x:c r="C20" t="str">
        <x:v>00000000-0000-4000-8000-000000000016</x:v>
      </x:c>
      <x:c r="D20" t="str">
        <x:v>Member</x:v>
      </x:c>
      <x:c r="E20" s="31" t="b">
        <x:v>0</x:v>
      </x:c>
      <x:c r="F20" t="str"/>
      <x:c r="G20" t="str"/>
      <x:c r="H20" t="n">
        <x:v>0</x:v>
      </x:c>
      <x:c r="I20" t="str">
        <x:v>None / unclassified</x:v>
      </x:c>
      <x:c r="J20" s="31" t="b">
        <x:v>0</x:v>
      </x:c>
      <x:c r="K20" s="31" t="b">
        <x:v>0</x:v>
      </x:c>
      <x:c r="L20" s="31" t="b">
        <x:v>0</x:v>
      </x:c>
      <x:c r="M20" t="str"/>
      <x:c r="N20" t="str"/>
      <x:c r="O20" t="str"/>
      <x:c r="P20" t="n">
        <x:v>46227.86201388889</x:v>
      </x:c>
      <x:c r="Q20" t="n">
        <x:v>0</x:v>
      </x:c>
      <x:c r="R20" t="n">
        <x:v>0</x:v>
      </x:c>
      <x:c r="S20" t="str">
        <x:v>0 of 0 (0.0%)</x:v>
      </x:c>
      <x:c r="T20" t="str">
        <x:v>No successful interactive sign-in in the window</x:v>
      </x:c>
      <x:c r="U20" t="n">
        <x:v>0</x:v>
      </x:c>
      <x:c r="V20" t="str"/>
      <x:c r="W20" t="str"/>
      <x:c r="X20" t="str"/>
      <x:c r="Y20" t="str"/>
      <x:c r="Z20" t="str">
        <x:v>None / unclassified</x:v>
      </x:c>
      <x:c r="AA20" t="n">
        <x:v>0</x:v>
      </x:c>
      <x:c r="AB20" t="str"/>
      <x:c r="AC20" t="str">
        <x:v>No registered method</x:v>
      </x:c>
      <x:c r="AD20" s="31" t="b">
        <x:v>0</x:v>
      </x:c>
      <x:c r="AE20" t="n">
        <x:v>46226.86201388889</x:v>
      </x:c>
      <x:c r="AF20" t="n">
        <x:v>46227.86201388889</x:v>
      </x:c>
    </x:row>
    <x:row r="21">
      <x:c r="A21" t="str">
        <x:v>sample.user17@example.com</x:v>
      </x:c>
      <x:c r="B21" t="str">
        <x:v>Sample User 17</x:v>
      </x:c>
      <x:c r="C21" t="str">
        <x:v>00000000-0000-4000-8000-000000000017</x:v>
      </x:c>
      <x:c r="D21" t="str">
        <x:v>Member</x:v>
      </x:c>
      <x:c r="E21" s="31" t="b">
        <x:v>0</x:v>
      </x:c>
      <x:c r="F21" t="str"/>
      <x:c r="G21" t="str"/>
      <x:c r="H21" t="n">
        <x:v>0</x:v>
      </x:c>
      <x:c r="I21" t="str">
        <x:v>None / unclassified</x:v>
      </x:c>
      <x:c r="J21" s="31" t="b">
        <x:v>0</x:v>
      </x:c>
      <x:c r="K21" s="31" t="b">
        <x:v>0</x:v>
      </x:c>
      <x:c r="L21" s="31" t="b">
        <x:v>0</x:v>
      </x:c>
      <x:c r="M21" t="str"/>
      <x:c r="N21" t="str"/>
      <x:c r="O21" t="str"/>
      <x:c r="P21" t="n">
        <x:v>46227.86201388889</x:v>
      </x:c>
      <x:c r="Q21" t="n">
        <x:v>0</x:v>
      </x:c>
      <x:c r="R21" t="n">
        <x:v>0</x:v>
      </x:c>
      <x:c r="S21" t="str">
        <x:v>0 of 0 (0.0%)</x:v>
      </x:c>
      <x:c r="T21" t="str">
        <x:v>No successful interactive sign-in in the window</x:v>
      </x:c>
      <x:c r="U21" t="n">
        <x:v>0</x:v>
      </x:c>
      <x:c r="V21" t="str"/>
      <x:c r="W21" t="str"/>
      <x:c r="X21" t="str"/>
      <x:c r="Y21" t="str"/>
      <x:c r="Z21" t="str">
        <x:v>None / unclassified</x:v>
      </x:c>
      <x:c r="AA21" t="n">
        <x:v>0</x:v>
      </x:c>
      <x:c r="AB21" t="str"/>
      <x:c r="AC21" t="str">
        <x:v>No registered method</x:v>
      </x:c>
      <x:c r="AD21" s="31" t="b">
        <x:v>0</x:v>
      </x:c>
      <x:c r="AE21" t="n">
        <x:v>46226.86201388889</x:v>
      </x:c>
      <x:c r="AF21" t="n">
        <x:v>46227.86201388889</x:v>
      </x:c>
    </x:row>
    <x:row r="22">
      <x:c r="A22" t="str">
        <x:v>sample.user18@example.com</x:v>
      </x:c>
      <x:c r="B22" t="str">
        <x:v>Sample User 18</x:v>
      </x:c>
      <x:c r="C22" t="str">
        <x:v>00000000-0000-4000-8000-000000000018</x:v>
      </x:c>
      <x:c r="D22" t="str">
        <x:v>Member</x:v>
      </x:c>
      <x:c r="E22" s="31" t="b">
        <x:v>0</x:v>
      </x:c>
      <x:c r="F22" t="str"/>
      <x:c r="G22" t="str"/>
      <x:c r="H22" t="n">
        <x:v>0</x:v>
      </x:c>
      <x:c r="I22" t="str">
        <x:v>None / unclassified</x:v>
      </x:c>
      <x:c r="J22" s="31" t="b">
        <x:v>0</x:v>
      </x:c>
      <x:c r="K22" s="31" t="b">
        <x:v>0</x:v>
      </x:c>
      <x:c r="L22" s="31" t="b">
        <x:v>0</x:v>
      </x:c>
      <x:c r="M22" t="str"/>
      <x:c r="N22" t="str"/>
      <x:c r="O22" t="str"/>
      <x:c r="P22" t="n">
        <x:v>46227.86201388889</x:v>
      </x:c>
      <x:c r="Q22" t="n">
        <x:v>0</x:v>
      </x:c>
      <x:c r="R22" t="n">
        <x:v>0</x:v>
      </x:c>
      <x:c r="S22" t="str">
        <x:v>0 of 0 (0.0%)</x:v>
      </x:c>
      <x:c r="T22" t="str">
        <x:v>No successful interactive sign-in in the window</x:v>
      </x:c>
      <x:c r="U22" t="n">
        <x:v>0</x:v>
      </x:c>
      <x:c r="V22" t="str"/>
      <x:c r="W22" t="str"/>
      <x:c r="X22" t="str"/>
      <x:c r="Y22" t="str"/>
      <x:c r="Z22" t="str">
        <x:v>None / unclassified</x:v>
      </x:c>
      <x:c r="AA22" t="n">
        <x:v>0</x:v>
      </x:c>
      <x:c r="AB22" t="str"/>
      <x:c r="AC22" t="str">
        <x:v>No registered method</x:v>
      </x:c>
      <x:c r="AD22" s="31" t="b">
        <x:v>0</x:v>
      </x:c>
      <x:c r="AE22" t="n">
        <x:v>46226.86201388889</x:v>
      </x:c>
      <x:c r="AF22" t="n">
        <x:v>46227.86201388889</x:v>
      </x:c>
    </x:row>
    <x:row r="23">
      <x:c r="A23" t="str">
        <x:v>sample.user19@example.com</x:v>
      </x:c>
      <x:c r="B23" t="str">
        <x:v>Sample User 19</x:v>
      </x:c>
      <x:c r="C23" t="str">
        <x:v>00000000-0000-4000-8000-000000000019</x:v>
      </x:c>
      <x:c r="D23" t="str">
        <x:v>Member</x:v>
      </x:c>
      <x:c r="E23" s="31" t="b">
        <x:v>0</x:v>
      </x:c>
      <x:c r="F23" t="str"/>
      <x:c r="G23" t="str"/>
      <x:c r="H23" t="n">
        <x:v>0</x:v>
      </x:c>
      <x:c r="I23" t="str">
        <x:v>None / unclassified</x:v>
      </x:c>
      <x:c r="J23" s="31" t="b">
        <x:v>0</x:v>
      </x:c>
      <x:c r="K23" s="31" t="b">
        <x:v>0</x:v>
      </x:c>
      <x:c r="L23" s="31" t="b">
        <x:v>0</x:v>
      </x:c>
      <x:c r="M23" t="str"/>
      <x:c r="N23" t="str"/>
      <x:c r="O23" t="str"/>
      <x:c r="P23" t="n">
        <x:v>46227.86201388889</x:v>
      </x:c>
      <x:c r="Q23" t="n">
        <x:v>0</x:v>
      </x:c>
      <x:c r="R23" t="n">
        <x:v>0</x:v>
      </x:c>
      <x:c r="S23" t="str">
        <x:v>0 of 0 (0.0%)</x:v>
      </x:c>
      <x:c r="T23" t="str">
        <x:v>No successful interactive sign-in in the window</x:v>
      </x:c>
      <x:c r="U23" t="n">
        <x:v>0</x:v>
      </x:c>
      <x:c r="V23" t="str"/>
      <x:c r="W23" t="str"/>
      <x:c r="X23" t="str"/>
      <x:c r="Y23" t="str"/>
      <x:c r="Z23" t="str">
        <x:v>None / unclassified</x:v>
      </x:c>
      <x:c r="AA23" t="n">
        <x:v>0</x:v>
      </x:c>
      <x:c r="AB23" t="str"/>
      <x:c r="AC23" t="str">
        <x:v>No registered method</x:v>
      </x:c>
      <x:c r="AD23" s="31" t="b">
        <x:v>0</x:v>
      </x:c>
      <x:c r="AE23" t="n">
        <x:v>46226.86201388889</x:v>
      </x:c>
      <x:c r="AF23" t="n">
        <x:v>46227.86201388889</x:v>
      </x:c>
    </x:row>
    <x:row r="24">
      <x:c r="A24" t="str">
        <x:v>sample.user20@example.com</x:v>
      </x:c>
      <x:c r="B24" t="str">
        <x:v>Sample User 20</x:v>
      </x:c>
      <x:c r="C24" t="str">
        <x:v>00000000-0000-4000-8000-000000000020</x:v>
      </x:c>
      <x:c r="D24" t="str">
        <x:v>Member</x:v>
      </x:c>
      <x:c r="E24" s="31" t="b">
        <x:v>0</x:v>
      </x:c>
      <x:c r="F24" t="str"/>
      <x:c r="G24" t="str"/>
      <x:c r="H24" t="n">
        <x:v>0</x:v>
      </x:c>
      <x:c r="I24" t="str">
        <x:v>None / unclassified</x:v>
      </x:c>
      <x:c r="J24" s="31" t="b">
        <x:v>0</x:v>
      </x:c>
      <x:c r="K24" s="31" t="b">
        <x:v>0</x:v>
      </x:c>
      <x:c r="L24" s="31" t="b">
        <x:v>0</x:v>
      </x:c>
      <x:c r="M24" t="str"/>
      <x:c r="N24" t="str"/>
      <x:c r="O24" t="str"/>
      <x:c r="P24" t="n">
        <x:v>46227.86201388889</x:v>
      </x:c>
      <x:c r="Q24" t="n">
        <x:v>0</x:v>
      </x:c>
      <x:c r="R24" t="n">
        <x:v>0</x:v>
      </x:c>
      <x:c r="S24" t="str">
        <x:v>0 of 0 (0.0%)</x:v>
      </x:c>
      <x:c r="T24" t="str">
        <x:v>No successful interactive sign-in in the window</x:v>
      </x:c>
      <x:c r="U24" t="n">
        <x:v>0</x:v>
      </x:c>
      <x:c r="V24" t="str"/>
      <x:c r="W24" t="str"/>
      <x:c r="X24" t="str"/>
      <x:c r="Y24" t="str"/>
      <x:c r="Z24" t="str">
        <x:v>None / unclassified</x:v>
      </x:c>
      <x:c r="AA24" t="n">
        <x:v>0</x:v>
      </x:c>
      <x:c r="AB24" t="str"/>
      <x:c r="AC24" t="str">
        <x:v>No registered method</x:v>
      </x:c>
      <x:c r="AD24" s="31" t="b">
        <x:v>0</x:v>
      </x:c>
      <x:c r="AE24" t="n">
        <x:v>46226.86201388889</x:v>
      </x:c>
      <x:c r="AF24" t="n">
        <x:v>46227.86201388889</x:v>
      </x:c>
    </x:row>
    <x:row r="25">
      <x:c r="A25" t="str">
        <x:v>sample.user21@example.com</x:v>
      </x:c>
      <x:c r="B25" t="str">
        <x:v>Sample User 21</x:v>
      </x:c>
      <x:c r="C25" t="str">
        <x:v>00000000-0000-4000-8000-000000000021</x:v>
      </x:c>
      <x:c r="D25" t="str">
        <x:v>Member</x:v>
      </x:c>
      <x:c r="E25" s="31" t="b">
        <x:v>0</x:v>
      </x:c>
      <x:c r="F25" t="str"/>
      <x:c r="G25" t="str"/>
      <x:c r="H25" t="n">
        <x:v>0</x:v>
      </x:c>
      <x:c r="I25" t="str">
        <x:v>None / unclassified</x:v>
      </x:c>
      <x:c r="J25" s="31" t="b">
        <x:v>0</x:v>
      </x:c>
      <x:c r="K25" s="31" t="b">
        <x:v>0</x:v>
      </x:c>
      <x:c r="L25" s="31" t="b">
        <x:v>0</x:v>
      </x:c>
      <x:c r="M25" t="str"/>
      <x:c r="N25" t="str"/>
      <x:c r="O25" t="str"/>
      <x:c r="P25" t="n">
        <x:v>46227.86201388889</x:v>
      </x:c>
      <x:c r="Q25" t="n">
        <x:v>0</x:v>
      </x:c>
      <x:c r="R25" t="n">
        <x:v>0</x:v>
      </x:c>
      <x:c r="S25" t="str">
        <x:v>0 of 0 (0.0%)</x:v>
      </x:c>
      <x:c r="T25" t="str">
        <x:v>No successful interactive sign-in in the window</x:v>
      </x:c>
      <x:c r="U25" t="n">
        <x:v>0</x:v>
      </x:c>
      <x:c r="V25" t="str"/>
      <x:c r="W25" t="str"/>
      <x:c r="X25" t="str"/>
      <x:c r="Y25" t="str"/>
      <x:c r="Z25" t="str">
        <x:v>None / unclassified</x:v>
      </x:c>
      <x:c r="AA25" t="n">
        <x:v>0</x:v>
      </x:c>
      <x:c r="AB25" t="str"/>
      <x:c r="AC25" t="str">
        <x:v>No registered method</x:v>
      </x:c>
      <x:c r="AD25" s="31" t="b">
        <x:v>0</x:v>
      </x:c>
      <x:c r="AE25" t="n">
        <x:v>46226.86201388889</x:v>
      </x:c>
      <x:c r="AF25" t="n">
        <x:v>46227.86201388889</x:v>
      </x:c>
    </x:row>
    <x:row r="26">
      <x:c r="A26" t="str">
        <x:v>sample.user22@example.com</x:v>
      </x:c>
      <x:c r="B26" t="str">
        <x:v>Sample User 22</x:v>
      </x:c>
      <x:c r="C26" t="str">
        <x:v>00000000-0000-4000-8000-000000000022</x:v>
      </x:c>
      <x:c r="D26" t="str">
        <x:v>Member</x:v>
      </x:c>
      <x:c r="E26" s="31" t="b">
        <x:v>0</x:v>
      </x:c>
      <x:c r="F26" t="str"/>
      <x:c r="G26" t="str"/>
      <x:c r="H26" t="n">
        <x:v>0</x:v>
      </x:c>
      <x:c r="I26" t="str">
        <x:v>None / unclassified</x:v>
      </x:c>
      <x:c r="J26" s="31" t="b">
        <x:v>0</x:v>
      </x:c>
      <x:c r="K26" s="31" t="b">
        <x:v>0</x:v>
      </x:c>
      <x:c r="L26" s="31" t="b">
        <x:v>0</x:v>
      </x:c>
      <x:c r="M26" t="str"/>
      <x:c r="N26" t="str"/>
      <x:c r="O26" t="str"/>
      <x:c r="P26" t="n">
        <x:v>46227.86201388889</x:v>
      </x:c>
      <x:c r="Q26" t="n">
        <x:v>0</x:v>
      </x:c>
      <x:c r="R26" t="n">
        <x:v>0</x:v>
      </x:c>
      <x:c r="S26" t="str">
        <x:v>0 of 0 (0.0%)</x:v>
      </x:c>
      <x:c r="T26" t="str">
        <x:v>No successful interactive sign-in in the window</x:v>
      </x:c>
      <x:c r="U26" t="n">
        <x:v>0</x:v>
      </x:c>
      <x:c r="V26" t="str"/>
      <x:c r="W26" t="str"/>
      <x:c r="X26" t="str"/>
      <x:c r="Y26" t="str"/>
      <x:c r="Z26" t="str">
        <x:v>None / unclassified</x:v>
      </x:c>
      <x:c r="AA26" t="n">
        <x:v>0</x:v>
      </x:c>
      <x:c r="AB26" t="str"/>
      <x:c r="AC26" t="str">
        <x:v>No registered method</x:v>
      </x:c>
      <x:c r="AD26" s="31" t="b">
        <x:v>0</x:v>
      </x:c>
      <x:c r="AE26" t="n">
        <x:v>46226.86201388889</x:v>
      </x:c>
      <x:c r="AF26" t="n">
        <x:v>46227.86201388889</x:v>
      </x:c>
    </x:row>
    <x:row r="27">
      <x:c r="A27" t="str">
        <x:v>sample.user23@example.com</x:v>
      </x:c>
      <x:c r="B27" t="str">
        <x:v>Sample User 23</x:v>
      </x:c>
      <x:c r="C27" t="str">
        <x:v>00000000-0000-4000-8000-000000000023</x:v>
      </x:c>
      <x:c r="D27" t="str">
        <x:v>Member</x:v>
      </x:c>
      <x:c r="E27" s="31" t="b">
        <x:v>0</x:v>
      </x:c>
      <x:c r="F27" t="str"/>
      <x:c r="G27" t="str"/>
      <x:c r="H27" t="n">
        <x:v>0</x:v>
      </x:c>
      <x:c r="I27" t="str">
        <x:v>None / unclassified</x:v>
      </x:c>
      <x:c r="J27" s="31" t="b">
        <x:v>0</x:v>
      </x:c>
      <x:c r="K27" s="31" t="b">
        <x:v>0</x:v>
      </x:c>
      <x:c r="L27" s="31" t="b">
        <x:v>0</x:v>
      </x:c>
      <x:c r="M27" t="str"/>
      <x:c r="N27" t="str"/>
      <x:c r="O27" t="str"/>
      <x:c r="P27" t="n">
        <x:v>46227.86201388889</x:v>
      </x:c>
      <x:c r="Q27" t="n">
        <x:v>0</x:v>
      </x:c>
      <x:c r="R27" t="n">
        <x:v>0</x:v>
      </x:c>
      <x:c r="S27" t="str">
        <x:v>0 of 0 (0.0%)</x:v>
      </x:c>
      <x:c r="T27" t="str">
        <x:v>No successful interactive sign-in in the window</x:v>
      </x:c>
      <x:c r="U27" t="n">
        <x:v>0</x:v>
      </x:c>
      <x:c r="V27" t="str"/>
      <x:c r="W27" t="str"/>
      <x:c r="X27" t="str"/>
      <x:c r="Y27" t="str"/>
      <x:c r="Z27" t="str">
        <x:v>None / unclassified</x:v>
      </x:c>
      <x:c r="AA27" t="n">
        <x:v>0</x:v>
      </x:c>
      <x:c r="AB27" t="str"/>
      <x:c r="AC27" t="str">
        <x:v>No registered method</x:v>
      </x:c>
      <x:c r="AD27" s="31" t="b">
        <x:v>0</x:v>
      </x:c>
      <x:c r="AE27" t="n">
        <x:v>46226.86201388889</x:v>
      </x:c>
      <x:c r="AF27" t="n">
        <x:v>46227.86201388889</x:v>
      </x:c>
    </x:row>
  </x:sheetData>
  <x:mergeCells>
    <x:mergeCell ref="A1:AF1"/>
    <x:mergeCell ref="A2:AF2"/>
  </x:mergeCells>
  <x:pageMargins left="0.7" right="0.7" top="0.75" bottom="0.75" header="0.3" footer="0.3"/>
  <x:tableParts count="1">
    <x:tablePart xmlns:r="http://schemas.openxmlformats.org/officeDocument/2006/relationships" r:id="R09886baca634414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.5" hidden="0" customWidth="1"/>
    <x:col min="3" max="3" width="32.5" hidden="0" customWidth="1"/>
    <x:col min="4" max="4" width="18.8799991607666" hidden="0" customWidth="1"/>
    <x:col min="5" max="5" width="16.1299991607666" hidden="0" customWidth="1"/>
    <x:col min="6" max="6" width="24.8799991607666" hidden="0" customWidth="1"/>
    <x:col min="7" max="7" width="24.3799991607666" hidden="0" customWidth="1"/>
    <x:col min="8" max="8" width="21.6299991607666" hidden="0" customWidth="1"/>
    <x:col min="9" max="9" width="22.5" hidden="0" customWidth="1"/>
    <x:col min="10" max="10" width="18.75" hidden="0" customWidth="1"/>
    <x:col min="11" max="11" width="46" hidden="0" customWidth="1"/>
    <x:col min="12" max="12" width="11.25" hidden="0" customWidth="1"/>
    <x:col min="13" max="13" width="12.630000114440918" hidden="0" customWidth="1"/>
    <x:col min="14" max="14" width="16.1299991607666" hidden="0" customWidth="1"/>
    <x:col min="15" max="15" width="9.380000114440918" hidden="0" customWidth="1"/>
    <x:col min="16" max="16" width="11.380000114440918" hidden="0" customWidth="1"/>
    <x:col min="17" max="17" width="12.130000114440918" hidden="0" customWidth="1"/>
  </x:cols>
  <x:sheetData>
    <x:row r="1" ht="28" customHeight="1">
      <x:c r="A1" s="4" t="str">
        <x:v>Entra Authentication Posture - Example Evidence (Restricted)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2">
      <x:c r="A2" s="7" t="str">
        <x:v>Synthetic example - no customer tenant data. Do not treat this as live telemetry.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</x:row>
    <x:row r="4" ht="40" customHeight="1">
      <x:c r="A4" s="17" t="str">
        <x:v>UserPrincipalName</x:v>
      </x:c>
      <x:c r="B4" s="17" t="str">
        <x:v>UserId</x:v>
      </x:c>
      <x:c r="C4" s="17" t="str">
        <x:v>SignInId</x:v>
      </x:c>
      <x:c r="D4" s="17" t="str">
        <x:v>CreatedDateTimeUtc</x:v>
      </x:c>
      <x:c r="E4" s="17" t="str">
        <x:v>AppDisplayName</x:v>
      </x:c>
      <x:c r="F4" s="17" t="str">
        <x:v>ClientAppUsed</x:v>
      </x:c>
      <x:c r="G4" s="17" t="str">
        <x:v>AuthenticationRequirement</x:v>
      </x:c>
      <x:c r="H4" s="17" t="str">
        <x:v>ConditionalAccessStatus</x:v>
      </x:c>
      <x:c r="I4" s="17" t="str">
        <x:v>ExplicitMethodForSignIn</x:v>
      </x:c>
      <x:c r="J4" s="17" t="str">
        <x:v>ExplicitMethodScore</x:v>
      </x:c>
      <x:c r="K4" s="17" t="str">
        <x:v>RawAuthenticationSteps</x:v>
      </x:c>
      <x:c r="L4" s="17" t="str">
        <x:v>IpAddress</x:v>
      </x:c>
      <x:c r="M4" s="17" t="str">
        <x:v>DeviceName</x:v>
      </x:c>
      <x:c r="N4" s="17" t="str">
        <x:v>OperatingSystem</x:v>
      </x:c>
      <x:c r="O4" s="17" t="str">
        <x:v>Browser</x:v>
      </x:c>
      <x:c r="P4" s="17" t="str">
        <x:v>IsManaged</x:v>
      </x:c>
      <x:c r="Q4" s="17" t="str">
        <x:v>IsCompliant</x:v>
      </x:c>
    </x:row>
    <x:row r="5">
      <x:c r="A5" t="str">
        <x:v>casey.lee@example.com</x:v>
      </x:c>
      <x:c r="B5" t="str">
        <x:v>00000000-0000-4000-8000-000000000003</x:v>
      </x:c>
      <x:c r="C5" t="str">
        <x:v>10000000-0000-4000-8000-000000000001</x:v>
      </x:c>
      <x:c r="D5" t="n">
        <x:v>46227.82929398148</x:v>
      </x:c>
      <x:c r="E5" t="str">
        <x:v>Microsoft 365</x:v>
      </x:c>
      <x:c r="F5" t="str">
        <x:v>Browser</x:v>
      </x:c>
      <x:c r="G5" t="str">
        <x:v>multiFactorAuthentication</x:v>
      </x:c>
      <x:c r="H5" t="str">
        <x:v>success</x:v>
      </x:c>
      <x:c r="I5" t="str">
        <x:v>Microsoft Authenticator push</x:v>
      </x:c>
      <x:c r="J5" t="n">
        <x:v>70</x:v>
      </x:c>
      <x:c r="K5" t="str">
        <x:v>Password (succeeded); Mobile app notification (succeeded)</x:v>
      </x:c>
      <x:c r="L5" t="str">
        <x:v>203.0.113.10</x:v>
      </x:c>
      <x:c r="M5" t="str">
        <x:v>EXAMPLE-LT-01</x:v>
      </x:c>
      <x:c r="N5" t="str">
        <x:v>Windows 11</x:v>
      </x:c>
      <x:c r="O5" t="str">
        <x:v>Edge 140</x:v>
      </x:c>
      <x:c r="P5" s="31" t="b">
        <x:v>1</x:v>
      </x:c>
      <x:c r="Q5" s="31" t="b">
        <x:v>1</x:v>
      </x:c>
    </x:row>
    <x:row r="6">
      <x:c r="A6" t="str">
        <x:v>casey.lee@example.com</x:v>
      </x:c>
      <x:c r="B6" t="str">
        <x:v>00000000-0000-4000-8000-000000000003</x:v>
      </x:c>
      <x:c r="C6" t="str">
        <x:v>10000000-0000-4000-8000-000000000002</x:v>
      </x:c>
      <x:c r="D6" t="n">
        <x:v>46226.67965277778</x:v>
      </x:c>
      <x:c r="E6" t="str">
        <x:v>Azure portal</x:v>
      </x:c>
      <x:c r="F6" t="str">
        <x:v>Browser</x:v>
      </x:c>
      <x:c r="G6" t="str">
        <x:v>multiFactorAuthentication</x:v>
      </x:c>
      <x:c r="H6" t="str">
        <x:v>success</x:v>
      </x:c>
      <x:c r="I6" t="str">
        <x:v>Microsoft Authenticator push</x:v>
      </x:c>
      <x:c r="J6" t="n">
        <x:v>70</x:v>
      </x:c>
      <x:c r="K6" t="str">
        <x:v>Password (succeeded); Mobile app notification (succeeded)</x:v>
      </x:c>
      <x:c r="L6" t="str">
        <x:v>203.0.113.10</x:v>
      </x:c>
      <x:c r="M6" t="str">
        <x:v>EXAMPLE-LT-01</x:v>
      </x:c>
      <x:c r="N6" t="str">
        <x:v>Windows 11</x:v>
      </x:c>
      <x:c r="O6" t="str">
        <x:v>Edge 140</x:v>
      </x:c>
      <x:c r="P6" s="31" t="b">
        <x:v>1</x:v>
      </x:c>
      <x:c r="Q6" s="31" t="b">
        <x:v>1</x:v>
      </x:c>
    </x:row>
    <x:row r="7">
      <x:c r="A7" t="str">
        <x:v>casey.lee@example.com</x:v>
      </x:c>
      <x:c r="B7" t="str">
        <x:v>00000000-0000-4000-8000-000000000003</x:v>
      </x:c>
      <x:c r="C7" t="str">
        <x:v>10000000-0000-4000-8000-000000000003</x:v>
      </x:c>
      <x:c r="D7" t="n">
        <x:v>46225.54681712963</x:v>
      </x:c>
      <x:c r="E7" t="str">
        <x:v>Microsoft Teams</x:v>
      </x:c>
      <x:c r="F7" t="str">
        <x:v>Mobile Apps and Desktop clients</x:v>
      </x:c>
      <x:c r="G7" t="str">
        <x:v>multiFactorAuthentication</x:v>
      </x:c>
      <x:c r="H7" t="str">
        <x:v>success</x:v>
      </x:c>
      <x:c r="I7" t="str">
        <x:v>Microsoft Authenticator push</x:v>
      </x:c>
      <x:c r="J7" t="n">
        <x:v>70</x:v>
      </x:c>
      <x:c r="K7" t="str">
        <x:v>Password (succeeded); Mobile app notification (succeeded)</x:v>
      </x:c>
      <x:c r="L7" t="str">
        <x:v>203.0.113.11</x:v>
      </x:c>
      <x:c r="M7" t="str">
        <x:v>EXAMPLE-LT-01</x:v>
      </x:c>
      <x:c r="N7" t="str">
        <x:v>Windows 11</x:v>
      </x:c>
      <x:c r="O7" t="str">
        <x:v>Teams</x:v>
      </x:c>
      <x:c r="P7" s="31" t="b">
        <x:v>1</x:v>
      </x:c>
      <x:c r="Q7" s="31" t="b">
        <x:v>1</x:v>
      </x:c>
    </x:row>
    <x:row r="8">
      <x:c r="A8" t="str">
        <x:v>casey.lee@example.com</x:v>
      </x:c>
      <x:c r="B8" t="str">
        <x:v>00000000-0000-4000-8000-000000000003</x:v>
      </x:c>
      <x:c r="C8" t="str">
        <x:v>10000000-0000-4000-8000-000000000004</x:v>
      </x:c>
      <x:c r="D8" t="n">
        <x:v>46223.404756944445</x:v>
      </x:c>
      <x:c r="E8" t="str">
        <x:v>Exchange Online</x:v>
      </x:c>
      <x:c r="F8" t="str">
        <x:v>Browser</x:v>
      </x:c>
      <x:c r="G8" t="str">
        <x:v>multiFactorAuthentication</x:v>
      </x:c>
      <x:c r="H8" t="str">
        <x:v>success</x:v>
      </x:c>
      <x:c r="I8" t="str">
        <x:v>Microsoft Authenticator push</x:v>
      </x:c>
      <x:c r="J8" t="n">
        <x:v>70</x:v>
      </x:c>
      <x:c r="K8" t="str">
        <x:v>Password (succeeded); Mobile app notification (succeeded)</x:v>
      </x:c>
      <x:c r="L8" t="str">
        <x:v>198.51.100.14</x:v>
      </x:c>
      <x:c r="M8" t="str">
        <x:v>EXAMPLE-LT-01</x:v>
      </x:c>
      <x:c r="N8" t="str">
        <x:v>Windows 11</x:v>
      </x:c>
      <x:c r="O8" t="str">
        <x:v>Edge 140</x:v>
      </x:c>
      <x:c r="P8" s="31" t="b">
        <x:v>1</x:v>
      </x:c>
      <x:c r="Q8" s="31" t="b">
        <x:v>1</x:v>
      </x:c>
    </x:row>
    <x:row r="9">
      <x:c r="A9" t="str">
        <x:v>casey.lee@example.com</x:v>
      </x:c>
      <x:c r="B9" t="str">
        <x:v>00000000-0000-4000-8000-000000000003</x:v>
      </x:c>
      <x:c r="C9" t="str">
        <x:v>10000000-0000-4000-8000-000000000005</x:v>
      </x:c>
      <x:c r="D9" t="n">
        <x:v>46221.768159722225</x:v>
      </x:c>
      <x:c r="E9" t="str">
        <x:v>SharePoint Online</x:v>
      </x:c>
      <x:c r="F9" t="str">
        <x:v>Browser</x:v>
      </x:c>
      <x:c r="G9" t="str">
        <x:v>multiFactorAuthentication</x:v>
      </x:c>
      <x:c r="H9" t="str">
        <x:v>success</x:v>
      </x:c>
      <x:c r="I9" t="str">
        <x:v>Microsoft Authenticator push</x:v>
      </x:c>
      <x:c r="J9" t="n">
        <x:v>70</x:v>
      </x:c>
      <x:c r="K9" t="str">
        <x:v>Password (succeeded); Mobile app notification (succeeded)</x:v>
      </x:c>
      <x:c r="L9" t="str">
        <x:v>198.51.100.14</x:v>
      </x:c>
      <x:c r="M9" t="str">
        <x:v>EXAMPLE-LT-01</x:v>
      </x:c>
      <x:c r="N9" t="str">
        <x:v>Windows 11</x:v>
      </x:c>
      <x:c r="O9" t="str">
        <x:v>Edge 140</x:v>
      </x:c>
      <x:c r="P9" s="31" t="b">
        <x:v>1</x:v>
      </x:c>
      <x:c r="Q9" s="31" t="b">
        <x:v>1</x:v>
      </x:c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f113958dff3f48c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.25" hidden="0" customWidth="1"/>
    <x:col min="3" max="3" width="30" hidden="0" customWidth="1"/>
    <x:col min="4" max="4" width="32" hidden="0" customWidth="1"/>
    <x:col min="5" max="5" width="28" hidden="0" customWidth="1"/>
  </x:cols>
  <x:sheetData>
    <x:row r="1" ht="28" customHeight="1">
      <x:c r="A1" s="4" t="str">
        <x:v>Entra Authentication Posture - Scoring Guide</x:v>
      </x:c>
      <x:c r="B1" s="4"/>
      <x:c r="C1" s="4"/>
      <x:c r="D1" s="4"/>
      <x:c r="E1" s="4"/>
    </x:row>
    <x:row r="2">
      <x:c r="A2" s="7" t="str">
        <x:v>Synthetic example - no customer tenant data. Do not treat this as live telemetry.</x:v>
      </x:c>
      <x:c r="B2" s="7"/>
      <x:c r="C2" s="7"/>
      <x:c r="D2" s="7"/>
      <x:c r="E2" s="7"/>
    </x:row>
    <x:row r="4">
      <x:c r="A4" s="17" t="str">
        <x:v>Method family</x:v>
      </x:c>
      <x:c r="B4" s="17" t="str">
        <x:v>Score</x:v>
      </x:c>
      <x:c r="C4" s="17" t="str">
        <x:v>Tier</x:v>
      </x:c>
      <x:c r="D4" s="17" t="str">
        <x:v>Meaning</x:v>
      </x:c>
      <x:c r="E4" s="17" t="str">
        <x:v>Example</x:v>
      </x:c>
    </x:row>
    <x:row r="5">
      <x:c r="A5" t="str">
        <x:v>FIDO2 / passkey</x:v>
      </x:c>
      <x:c r="B5" t="n">
        <x:v>100</x:v>
      </x:c>
      <x:c r="C5" t="str">
        <x:v>Phishing-resistant MFA</x:v>
      </x:c>
      <x:c r="D5" t="str">
        <x:v>Phishing-resistant credential</x:v>
      </x:c>
      <x:c r="E5" t="str">
        <x:v>FIDO2 security key</x:v>
      </x:c>
    </x:row>
    <x:row r="6">
      <x:c r="A6" t="str">
        <x:v>Windows Hello for Business</x:v>
      </x:c>
      <x:c r="B6" t="n">
        <x:v>95</x:v>
      </x:c>
      <x:c r="C6" t="str">
        <x:v>Phishing-resistant MFA</x:v>
      </x:c>
      <x:c r="D6" t="str">
        <x:v>Device-bound key credential</x:v>
      </x:c>
      <x:c r="E6" t="str">
        <x:v>Windows Hello for Business</x:v>
      </x:c>
    </x:row>
    <x:row r="7">
      <x:c r="A7" t="str">
        <x:v>Certificate</x:v>
      </x:c>
      <x:c r="B7" t="n">
        <x:v>90</x:v>
      </x:c>
      <x:c r="C7" t="str">
        <x:v>Phishing-resistant MFA</x:v>
      </x:c>
      <x:c r="D7" t="str">
        <x:v>Certificate-based authentication</x:v>
      </x:c>
      <x:c r="E7" t="str">
        <x:v>X.509 certificate</x:v>
      </x:c>
    </x:row>
    <x:row r="8">
      <x:c r="A8" t="str">
        <x:v>Authenticator passwordless</x:v>
      </x:c>
      <x:c r="B8" t="n">
        <x:v>85</x:v>
      </x:c>
      <x:c r="C8" t="str">
        <x:v>Passwordless MFA</x:v>
      </x:c>
      <x:c r="D8" t="str">
        <x:v>Passwordless phone sign-in</x:v>
      </x:c>
      <x:c r="E8" t="str">
        <x:v>Microsoft Authenticator</x:v>
      </x:c>
    </x:row>
    <x:row r="9">
      <x:c r="A9" t="str">
        <x:v>Authenticator push</x:v>
      </x:c>
      <x:c r="B9" t="n">
        <x:v>70</x:v>
      </x:c>
      <x:c r="C9" t="str">
        <x:v>Strong MFA (app, token, or TAP)</x:v>
      </x:c>
      <x:c r="D9" t="str">
        <x:v>Push approval</x:v>
      </x:c>
      <x:c r="E9" t="str">
        <x:v>Mobile app notification</x:v>
      </x:c>
    </x:row>
    <x:row r="10">
      <x:c r="A10" t="str">
        <x:v>Temporary Access Pass</x:v>
      </x:c>
      <x:c r="B10" t="n">
        <x:v>60</x:v>
      </x:c>
      <x:c r="C10" t="str">
        <x:v>Strong MFA (app, token, or TAP)</x:v>
      </x:c>
      <x:c r="D10" t="str">
        <x:v>Time-limited bootstrap credential</x:v>
      </x:c>
      <x:c r="E10" t="str">
        <x:v>Temporary Access Pass</x:v>
      </x:c>
    </x:row>
    <x:row r="11">
      <x:c r="A11" t="str">
        <x:v>Hardware OATH</x:v>
      </x:c>
      <x:c r="B11" t="n">
        <x:v>55</x:v>
      </x:c>
      <x:c r="C11" t="str">
        <x:v>Strong MFA (app, token, or TAP)</x:v>
      </x:c>
      <x:c r="D11" t="str">
        <x:v>Hardware token</x:v>
      </x:c>
      <x:c r="E11" t="str">
        <x:v>OATH hardware token</x:v>
      </x:c>
    </x:row>
    <x:row r="12">
      <x:c r="A12" t="str">
        <x:v>Software OATH</x:v>
      </x:c>
      <x:c r="B12" t="n">
        <x:v>50</x:v>
      </x:c>
      <x:c r="C12" t="str">
        <x:v>Strong MFA (app, token, or TAP)</x:v>
      </x:c>
      <x:c r="D12" t="str">
        <x:v>Software token</x:v>
      </x:c>
      <x:c r="E12" t="str">
        <x:v>OATH software token</x:v>
      </x:c>
    </x:row>
    <x:row r="13">
      <x:c r="A13" t="str">
        <x:v>Phone</x:v>
      </x:c>
      <x:c r="B13" t="n">
        <x:v>30</x:v>
      </x:c>
      <x:c r="C13" t="str">
        <x:v>Phone-based MFA</x:v>
      </x:c>
      <x:c r="D13" t="str">
        <x:v>Phone/SMS method</x:v>
      </x:c>
      <x:c r="E13" t="str">
        <x:v>SMS or voice call</x:v>
      </x:c>
    </x:row>
    <x:row r="14">
      <x:c r="A14" t="str">
        <x:v>Email</x:v>
      </x:c>
      <x:c r="B14" t="n">
        <x:v>20</x:v>
      </x:c>
      <x:c r="C14" t="str">
        <x:v>Single-factor / SSPR only</x:v>
      </x:c>
      <x:c r="D14" t="str">
        <x:v>Email method</x:v>
      </x:c>
      <x:c r="E14" t="str">
        <x:v>Email OTP</x:v>
      </x:c>
    </x:row>
    <x:row r="15">
      <x:c r="A15" t="str">
        <x:v>Password</x:v>
      </x:c>
      <x:c r="B15" t="n">
        <x:v>10</x:v>
      </x:c>
      <x:c r="C15" t="str">
        <x:v>Single-factor / SSPR only</x:v>
      </x:c>
      <x:c r="D15" t="str">
        <x:v>Primary password</x:v>
      </x:c>
      <x:c r="E15" t="str">
        <x:v>Password in cloud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399d149d38764730"/>
  </x:tableParts>
</x:worksheet>
</file>